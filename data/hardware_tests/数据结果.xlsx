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enze\Documents\Codex\2026-09-27\2024-foods-a-gas-sensors-detection\outputs\"/>
    </mc:Choice>
  </mc:AlternateContent>
  <bookViews>
    <workbookView windowWidth="21460" windowHeight="11480" firstSheet="2" activeTab="6"/>
  </bookViews>
  <sheets>
    <sheet name="填写说明" sheetId="1" r:id="rId1"/>
    <sheet name="电子鼻_处理结果" sheetId="2" r:id="rId2"/>
    <sheet name="SHT31_处理结果" sheetId="3" r:id="rId3"/>
    <sheet name="HX711_标定结果" sheetId="4" r:id="rId4"/>
    <sheet name="整机稳定性" sheetId="5" r:id="rId5"/>
    <sheet name="联合采集汇总" sheetId="6" r:id="rId6"/>
    <sheet name="申报材料摘要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<sst xmlns="http://schemas.openxmlformats.org/spreadsheetml/2006/main" count="306" uniqueCount="197">
  <si>
    <t>青韵智控｜测试基本信息</t>
  </si>
  <si>
    <t>模块</t>
  </si>
  <si>
    <t>配置</t>
  </si>
  <si>
    <t>数量</t>
  </si>
  <si>
    <t>单位</t>
  </si>
  <si>
    <t>输出频率(Hz)</t>
  </si>
  <si>
    <t>时长(min)</t>
  </si>
  <si>
    <t>记录量</t>
  </si>
  <si>
    <t>量纲/通道</t>
  </si>
  <si>
    <t>控制板</t>
  </si>
  <si>
    <t>ESP32-S3-DevKitC-1 N8R8</t>
  </si>
  <si>
    <t>块</t>
  </si>
  <si>
    <t>JSONL-v0.3</t>
  </si>
  <si>
    <t>模拟气敏</t>
  </si>
  <si>
    <t>TGS2600 / TGS2602 / TGS2603</t>
  </si>
  <si>
    <t>路</t>
  </si>
  <si>
    <t>ADC引脚电压 / V</t>
  </si>
  <si>
    <t>数字气敏</t>
  </si>
  <si>
    <t>BME688</t>
  </si>
  <si>
    <t>气体电阻 / Ω</t>
  </si>
  <si>
    <t>温湿度</t>
  </si>
  <si>
    <t>SHT31：0x44 / 0x45</t>
  </si>
  <si>
    <t>个</t>
  </si>
  <si>
    <t>℃ / %RH</t>
  </si>
  <si>
    <t>称重</t>
  </si>
  <si>
    <t>HX711 A通道，增益128</t>
  </si>
  <si>
    <t>g；5 kg输入范围</t>
  </si>
  <si>
    <t>叶温</t>
  </si>
  <si>
    <t>MLX90614</t>
  </si>
  <si>
    <t>℃</t>
  </si>
  <si>
    <t>预留通道</t>
  </si>
  <si>
    <t>ADS1115 A3</t>
  </si>
  <si>
    <t>启用路</t>
  </si>
  <si>
    <t>禁用</t>
  </si>
  <si>
    <t>样品</t>
  </si>
  <si>
    <t>凤凰单丛静置</t>
  </si>
  <si>
    <t>g</t>
  </si>
  <si>
    <t>采样周期(s)</t>
  </si>
  <si>
    <t>重复次数</t>
  </si>
  <si>
    <t>电子鼻 / VOC 处理后结果</t>
  </si>
  <si>
    <t>通道</t>
  </si>
  <si>
    <t>传感器型号/编号</t>
  </si>
  <si>
    <t>基线均值 V0</t>
  </si>
  <si>
    <t>基线SD</t>
  </si>
  <si>
    <t>响应峰值/稳态值 V</t>
  </si>
  <si>
    <t>归一化响应</t>
  </si>
  <si>
    <t>响应幅度%</t>
  </si>
  <si>
    <t>重复1</t>
  </si>
  <si>
    <t>重复2</t>
  </si>
  <si>
    <t>重复3</t>
  </si>
  <si>
    <t>重复4</t>
  </si>
  <si>
    <t>重复5</t>
  </si>
  <si>
    <t>重复均值</t>
  </si>
  <si>
    <t>重复SD</t>
  </si>
  <si>
    <t>CV%</t>
  </si>
  <si>
    <t>响应时间(s)</t>
  </si>
  <si>
    <t>整机电子鼻摘要</t>
  </si>
  <si>
    <t>填写/计算值</t>
  </si>
  <si>
    <t>TGS2600 / V</t>
  </si>
  <si>
    <t>预热时间(min)</t>
  </si>
  <si>
    <t>—</t>
  </si>
  <si>
    <t>TGS2602 / V</t>
  </si>
  <si>
    <t>单次响应时间(s)</t>
  </si>
  <si>
    <t>TGS2603 / V</t>
  </si>
  <si>
    <t>清洗/恢复时间(s)</t>
  </si>
  <si>
    <t>BME688 / Ω</t>
  </si>
  <si>
    <t>有效通道数</t>
  </si>
  <si>
    <t>最大CV%</t>
  </si>
  <si>
    <t>基线漂移%</t>
  </si>
  <si>
    <t>SHT31 温湿度连续采集——处理后结果</t>
  </si>
  <si>
    <t>测试编号</t>
  </si>
  <si>
    <t>传感器编号</t>
  </si>
  <si>
    <t>采样频率(Hz)</t>
  </si>
  <si>
    <t>理论采样数</t>
  </si>
  <si>
    <t>实际采样数</t>
  </si>
  <si>
    <t>完整率%</t>
  </si>
  <si>
    <t>温度均值(℃)</t>
  </si>
  <si>
    <t>温度最小</t>
  </si>
  <si>
    <t>温度最大</t>
  </si>
  <si>
    <t>温度SD</t>
  </si>
  <si>
    <t>参考温度(℃)</t>
  </si>
  <si>
    <t>温度误差(℃)</t>
  </si>
  <si>
    <t>湿度均值(%RH)</t>
  </si>
  <si>
    <t>湿度SD</t>
  </si>
  <si>
    <t>参考湿度(%RH)</t>
  </si>
  <si>
    <t>湿度误差(%RH)</t>
  </si>
  <si>
    <t>指标</t>
  </si>
  <si>
    <t>结果</t>
  </si>
  <si>
    <t>是否达标</t>
  </si>
  <si>
    <t>TH1-A</t>
  </si>
  <si>
    <t>环境SHT31-0x44</t>
  </si>
  <si>
    <t>最低数据完整率%</t>
  </si>
  <si>
    <t>TH1-C</t>
  </si>
  <si>
    <t>采样腔SHT31-0x45</t>
  </si>
  <si>
    <t>最大温度误差(℃)</t>
  </si>
  <si>
    <t>TH2-A</t>
  </si>
  <si>
    <t>最大湿度误差(%RH)</t>
  </si>
  <si>
    <t>TH2-C</t>
  </si>
  <si>
    <t>连续运行时长(min)</t>
  </si>
  <si>
    <t>TH3-A</t>
  </si>
  <si>
    <t>TH3-C</t>
  </si>
  <si>
    <t>TH4-A</t>
  </si>
  <si>
    <t>TH4-C</t>
  </si>
  <si>
    <t>TH5-A</t>
  </si>
  <si>
    <t>TH5-C</t>
  </si>
  <si>
    <t>HX711 + 称重传感器——多点标定与重复性</t>
  </si>
  <si>
    <t>标准质量(g)</t>
  </si>
  <si>
    <t>实测1</t>
  </si>
  <si>
    <t>实测2</t>
  </si>
  <si>
    <t>实测3</t>
  </si>
  <si>
    <t>实测4</t>
  </si>
  <si>
    <t>实测5</t>
  </si>
  <si>
    <t>平均实测(g)</t>
  </si>
  <si>
    <t>绝对误差(g)</t>
  </si>
  <si>
    <t>相对误差%</t>
  </si>
  <si>
    <t>SD(g)</t>
  </si>
  <si>
    <t>最大-最小(g)</t>
  </si>
  <si>
    <t>备注</t>
  </si>
  <si>
    <t>判定</t>
  </si>
  <si>
    <t>平均相对误差%</t>
  </si>
  <si>
    <t>最大相对误差%</t>
  </si>
  <si>
    <t>线性R²</t>
  </si>
  <si>
    <t>最小可稳定分辨变化(g)</t>
  </si>
  <si>
    <t>整机连续运行与数据完整性——处理后结果</t>
  </si>
  <si>
    <t>日期</t>
  </si>
  <si>
    <t>运行时长(min)</t>
  </si>
  <si>
    <t>实际有效采样数</t>
  </si>
  <si>
    <t>丢包数</t>
  </si>
  <si>
    <t>异常重启次数</t>
  </si>
  <si>
    <t>传感器掉线次数</t>
  </si>
  <si>
    <t>最长连续缺失(s)</t>
  </si>
  <si>
    <t>数据文件是否完整</t>
  </si>
  <si>
    <t>结论</t>
  </si>
  <si>
    <t>KPI</t>
  </si>
  <si>
    <t>RUN01</t>
  </si>
  <si>
    <t>是</t>
  </si>
  <si>
    <t>已完成</t>
  </si>
  <si>
    <t>最长运行时长(min)</t>
  </si>
  <si>
    <t>RUN02</t>
  </si>
  <si>
    <t>最低完整率%</t>
  </si>
  <si>
    <t>RUN03</t>
  </si>
  <si>
    <t>总异常重启次数</t>
  </si>
  <si>
    <t>RUN04</t>
  </si>
  <si>
    <t>总传感器掉线次数</t>
  </si>
  <si>
    <t>RUN05</t>
  </si>
  <si>
    <t>最大连续缺失(s)</t>
  </si>
  <si>
    <t>RUN06</t>
  </si>
  <si>
    <t>RUN07</t>
  </si>
  <si>
    <t>RUN08</t>
  </si>
  <si>
    <t>RUN09</t>
  </si>
  <si>
    <t>RUN10</t>
  </si>
  <si>
    <t>多通道联合采集——处理后摘要</t>
  </si>
  <si>
    <t>实验编号</t>
  </si>
  <si>
    <t>实验时长(min)</t>
  </si>
  <si>
    <t>电子鼻有效通道数</t>
  </si>
  <si>
    <t>最大VOC响应幅度%</t>
  </si>
  <si>
    <t>初始质量(g)</t>
  </si>
  <si>
    <t>结束质量(g)</t>
  </si>
  <si>
    <t>质量变化(g)</t>
  </si>
  <si>
    <t>相对质量变化%</t>
  </si>
  <si>
    <t>有效采样数</t>
  </si>
  <si>
    <t>时间同步是否正常</t>
  </si>
  <si>
    <t>JOINT01</t>
  </si>
  <si>
    <t>JOINT02</t>
  </si>
  <si>
    <t>JOINT03</t>
  </si>
  <si>
    <t>JOINT04</t>
  </si>
  <si>
    <t>JOINT05</t>
  </si>
  <si>
    <t>JOINT06</t>
  </si>
  <si>
    <t>JOINT07</t>
  </si>
  <si>
    <t>JOINT08</t>
  </si>
  <si>
    <t>JOINT09</t>
  </si>
  <si>
    <t>JOINT10</t>
  </si>
  <si>
    <t>用于三份申报材料与PPT的最终数据摘录</t>
  </si>
  <si>
    <t>类别</t>
  </si>
  <si>
    <t>推荐写入指标</t>
  </si>
  <si>
    <t>最终数值</t>
  </si>
  <si>
    <t>是否可写</t>
  </si>
  <si>
    <t>电子鼻</t>
  </si>
  <si>
    <t>同一样品重复测试最大/平均CV</t>
  </si>
  <si>
    <t>8.19 / 6.18</t>
  </si>
  <si>
    <t>%</t>
  </si>
  <si>
    <t>否</t>
  </si>
  <si>
    <t>典型通道最大归一化响应幅度</t>
  </si>
  <si>
    <t>SHT31</t>
  </si>
  <si>
    <t>连续运行时长</t>
  </si>
  <si>
    <t>min</t>
  </si>
  <si>
    <t>最大温度误差</t>
  </si>
  <si>
    <t>最大湿度误差</t>
  </si>
  <si>
    <t>%RH</t>
  </si>
  <si>
    <t>HX711</t>
  </si>
  <si>
    <t>平均相对误差</t>
  </si>
  <si>
    <t>无量纲</t>
  </si>
  <si>
    <t>整机</t>
  </si>
  <si>
    <t>数据完整率</t>
  </si>
  <si>
    <t>次</t>
  </si>
  <si>
    <t>联合采集</t>
  </si>
  <si>
    <t>联合采集时长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</si>
</sst>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"/>
    <numFmt numFmtId="177" formatCode="yyyy\-mm\-dd"/>
    <numFmt numFmtId="178" formatCode="0.000000"/>
    <numFmt numFmtId="179" formatCode="0.0000"/>
    <numFmt numFmtId="180" formatCode="0.0"/>
  </numFmts>
  <fonts count="24">
    <font>
      <sz val="11"/>
      <name val="Carlito"/>
      <charset val="134"/>
    </font>
    <font>
      <b/>
      <sz val="15"/>
      <color rgb="FFFFFFFF"/>
      <name val="微软雅黑"/>
      <charset val="134"/>
    </font>
    <font>
      <sz val="11"/>
      <color rgb="FF243746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C385A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2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3" fillId="3" borderId="0" xfId="49" applyNumberFormat="1" applyFont="1" applyFill="1" applyBorder="1" applyAlignment="1">
      <alignment vertical="center" wrapText="1"/>
    </xf>
    <xf numFmtId="0" fontId="2" fillId="4" borderId="0" xfId="49" applyNumberFormat="1" applyFont="1" applyFill="1" applyBorder="1" applyAlignment="1">
      <alignment vertical="center" wrapText="1"/>
    </xf>
    <xf numFmtId="0" fontId="2" fillId="4" borderId="0" xfId="49" applyNumberFormat="1" applyFont="1" applyFill="1" applyAlignment="1">
      <alignment vertical="center" wrapText="1"/>
    </xf>
    <xf numFmtId="2" fontId="2" fillId="4" borderId="0" xfId="49" applyNumberFormat="1" applyFont="1" applyFill="1" applyAlignment="1">
      <alignment vertical="center" wrapText="1"/>
    </xf>
    <xf numFmtId="176" fontId="2" fillId="4" borderId="0" xfId="49" applyNumberFormat="1" applyFont="1" applyFill="1" applyAlignment="1">
      <alignment vertical="center" wrapText="1"/>
    </xf>
    <xf numFmtId="0" fontId="2" fillId="0" borderId="0" xfId="49" applyNumberFormat="1" applyFont="1" applyFill="1" applyAlignment="1">
      <alignment vertical="center" wrapText="1"/>
    </xf>
    <xf numFmtId="1" fontId="2" fillId="0" borderId="0" xfId="49" applyNumberFormat="1" applyFont="1" applyFill="1" applyAlignment="1">
      <alignment vertical="center" wrapText="1"/>
    </xf>
    <xf numFmtId="2" fontId="2" fillId="0" borderId="0" xfId="49" applyNumberFormat="1" applyFont="1" applyFill="1" applyAlignment="1">
      <alignment vertical="center" wrapText="1"/>
    </xf>
    <xf numFmtId="177" fontId="2" fillId="0" borderId="0" xfId="49" applyNumberFormat="1" applyFont="1" applyFill="1" applyAlignment="1">
      <alignment vertical="center" wrapText="1"/>
    </xf>
    <xf numFmtId="178" fontId="2" fillId="0" borderId="0" xfId="49" applyNumberFormat="1" applyFont="1" applyFill="1" applyAlignment="1">
      <alignment vertical="center" wrapText="1"/>
    </xf>
    <xf numFmtId="176" fontId="2" fillId="0" borderId="0" xfId="49" applyNumberFormat="1" applyFont="1" applyFill="1" applyAlignment="1">
      <alignment vertical="center" wrapText="1"/>
    </xf>
    <xf numFmtId="179" fontId="2" fillId="0" borderId="0" xfId="49" applyNumberFormat="1" applyFont="1" applyFill="1" applyAlignment="1">
      <alignment vertical="center" wrapText="1"/>
    </xf>
    <xf numFmtId="179" fontId="2" fillId="5" borderId="0" xfId="49" applyNumberFormat="1" applyFont="1" applyFill="1" applyAlignment="1">
      <alignment vertical="center" wrapText="1"/>
    </xf>
    <xf numFmtId="180" fontId="2" fillId="0" borderId="0" xfId="49" applyNumberFormat="1" applyFont="1" applyFill="1" applyAlignment="1">
      <alignment vertical="center" wrapText="1"/>
    </xf>
    <xf numFmtId="180" fontId="2" fillId="5" borderId="0" xfId="49" applyNumberFormat="1" applyFont="1" applyFill="1" applyAlignment="1">
      <alignment vertical="center" wrapText="1"/>
    </xf>
    <xf numFmtId="0" fontId="3" fillId="3" borderId="0" xfId="49" applyNumberFormat="1" applyFont="1" applyFill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showGridLines="0" workbookViewId="0">
      <pane ySplit="4" topLeftCell="A5" activePane="bottomLeft" state="frozen"/>
      <selection/>
      <selection pane="bottomLeft" activeCell="A1" sqref="A1:H1"/>
    </sheetView>
  </sheetViews>
  <sheetFormatPr defaultColWidth="9" defaultRowHeight="14.5" outlineLevelCol="7"/>
  <cols>
    <col min="1" max="1" width="19" customWidth="1"/>
    <col min="2" max="2" width="36" customWidth="1"/>
    <col min="3" max="3" width="16" customWidth="1"/>
    <col min="4" max="4" width="14" customWidth="1"/>
    <col min="5" max="6" width="18" customWidth="1"/>
    <col min="7" max="7" width="22" customWidth="1"/>
    <col min="8" max="8" width="30" customWidth="1"/>
  </cols>
  <sheetData>
    <row r="1" ht="3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/>
      <c r="B2" s="2"/>
      <c r="C2" s="2"/>
      <c r="D2" s="2"/>
      <c r="E2" s="2"/>
      <c r="F2" s="2"/>
      <c r="G2" s="2"/>
      <c r="H2" s="2"/>
    </row>
    <row r="3" ht="30" customHeight="1" spans="1:8">
      <c r="A3" s="2"/>
      <c r="B3" s="2"/>
      <c r="C3" s="2"/>
      <c r="D3" s="2"/>
      <c r="E3" s="2"/>
      <c r="F3" s="2"/>
      <c r="G3" s="2"/>
      <c r="H3" s="2"/>
    </row>
    <row r="4" ht="44" customHeight="1" spans="1:8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ht="30" customHeight="1" spans="1:8">
      <c r="A5" s="8" t="s">
        <v>9</v>
      </c>
      <c r="B5" s="8" t="s">
        <v>10</v>
      </c>
      <c r="C5" s="8">
        <v>1</v>
      </c>
      <c r="D5" s="8" t="s">
        <v>11</v>
      </c>
      <c r="E5" s="8">
        <v>1</v>
      </c>
      <c r="F5" s="8">
        <v>480</v>
      </c>
      <c r="G5" s="8">
        <v>28777</v>
      </c>
      <c r="H5" s="8" t="s">
        <v>12</v>
      </c>
    </row>
    <row r="6" ht="30" customHeight="1" spans="1:8">
      <c r="A6" s="8" t="s">
        <v>13</v>
      </c>
      <c r="B6" s="8" t="s">
        <v>14</v>
      </c>
      <c r="C6" s="8">
        <v>3</v>
      </c>
      <c r="D6" s="8" t="s">
        <v>15</v>
      </c>
      <c r="E6" s="8">
        <v>1</v>
      </c>
      <c r="F6" s="8">
        <v>480</v>
      </c>
      <c r="G6" s="8">
        <v>28777</v>
      </c>
      <c r="H6" s="8" t="s">
        <v>16</v>
      </c>
    </row>
    <row r="7" ht="30" customHeight="1" spans="1:8">
      <c r="A7" s="8" t="s">
        <v>17</v>
      </c>
      <c r="B7" s="8" t="s">
        <v>18</v>
      </c>
      <c r="C7" s="8">
        <v>1</v>
      </c>
      <c r="D7" s="8" t="s">
        <v>15</v>
      </c>
      <c r="E7" s="8">
        <v>1</v>
      </c>
      <c r="F7" s="8">
        <v>480</v>
      </c>
      <c r="G7" s="8">
        <v>28777</v>
      </c>
      <c r="H7" s="8" t="s">
        <v>19</v>
      </c>
    </row>
    <row r="8" ht="30" customHeight="1" spans="1:8">
      <c r="A8" s="8" t="s">
        <v>20</v>
      </c>
      <c r="B8" s="8" t="s">
        <v>21</v>
      </c>
      <c r="C8" s="8">
        <v>2</v>
      </c>
      <c r="D8" s="8" t="s">
        <v>22</v>
      </c>
      <c r="E8" s="8">
        <v>1</v>
      </c>
      <c r="F8" s="8">
        <v>150</v>
      </c>
      <c r="G8" s="8">
        <v>8994</v>
      </c>
      <c r="H8" s="8" t="s">
        <v>23</v>
      </c>
    </row>
    <row r="9" ht="30" customHeight="1" spans="1:8">
      <c r="A9" s="8" t="s">
        <v>24</v>
      </c>
      <c r="B9" s="8" t="s">
        <v>25</v>
      </c>
      <c r="C9" s="8">
        <v>1</v>
      </c>
      <c r="D9" s="8" t="s">
        <v>15</v>
      </c>
      <c r="E9" s="8">
        <v>1</v>
      </c>
      <c r="F9" s="8">
        <v>480</v>
      </c>
      <c r="G9" s="8">
        <v>28777</v>
      </c>
      <c r="H9" s="8" t="s">
        <v>26</v>
      </c>
    </row>
    <row r="10" ht="30" customHeight="1" spans="1:8">
      <c r="A10" s="8" t="s">
        <v>27</v>
      </c>
      <c r="B10" s="8" t="s">
        <v>28</v>
      </c>
      <c r="C10" s="8">
        <v>1</v>
      </c>
      <c r="D10" s="8" t="s">
        <v>15</v>
      </c>
      <c r="E10" s="8">
        <v>1</v>
      </c>
      <c r="F10" s="8">
        <v>480</v>
      </c>
      <c r="G10" s="8">
        <v>28777</v>
      </c>
      <c r="H10" s="8" t="s">
        <v>29</v>
      </c>
    </row>
    <row r="11" ht="30" customHeight="1" spans="1:8">
      <c r="A11" s="8" t="s">
        <v>30</v>
      </c>
      <c r="B11" s="8" t="s">
        <v>31</v>
      </c>
      <c r="C11" s="8">
        <v>0</v>
      </c>
      <c r="D11" s="8" t="s">
        <v>32</v>
      </c>
      <c r="E11" s="8">
        <v>0</v>
      </c>
      <c r="F11" s="8">
        <v>0</v>
      </c>
      <c r="G11" s="8">
        <v>0</v>
      </c>
      <c r="H11" s="8" t="s">
        <v>33</v>
      </c>
    </row>
    <row r="12" ht="30" customHeight="1" spans="1:8">
      <c r="A12" s="8"/>
      <c r="B12" s="8"/>
      <c r="C12" s="8"/>
      <c r="D12" s="8"/>
      <c r="E12" s="8"/>
      <c r="F12" s="8"/>
      <c r="G12" s="8"/>
      <c r="H12" s="8"/>
    </row>
    <row r="13" ht="30" customHeight="1" spans="1:8">
      <c r="A13" s="8" t="s">
        <v>34</v>
      </c>
      <c r="B13" s="8" t="s">
        <v>35</v>
      </c>
      <c r="C13" s="8">
        <v>4000</v>
      </c>
      <c r="D13" s="8" t="s">
        <v>36</v>
      </c>
      <c r="E13" s="8">
        <v>270</v>
      </c>
      <c r="F13" s="8" t="s">
        <v>37</v>
      </c>
      <c r="G13" s="8">
        <v>5</v>
      </c>
      <c r="H13" s="8" t="s">
        <v>38</v>
      </c>
    </row>
  </sheetData>
  <mergeCells count="1">
    <mergeCell ref="A1: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showGridLines="0" workbookViewId="0">
      <pane ySplit="4" topLeftCell="A5" activePane="bottomLeft" state="frozen"/>
      <selection/>
      <selection pane="bottomLeft" activeCell="A1" sqref="A1:U1"/>
    </sheetView>
  </sheetViews>
  <sheetFormatPr defaultColWidth="9" defaultRowHeight="14.5"/>
  <cols>
    <col min="1" max="1" width="10" customWidth="1"/>
    <col min="2" max="2" width="22" customWidth="1"/>
    <col min="3" max="4" width="16" customWidth="1"/>
    <col min="5" max="5" width="17" customWidth="1"/>
    <col min="6" max="12" width="15" customWidth="1"/>
    <col min="13" max="14" width="16" customWidth="1"/>
    <col min="15" max="15" width="12" customWidth="1"/>
    <col min="16" max="16" width="16" customWidth="1"/>
    <col min="17" max="17" width="3" customWidth="1"/>
    <col min="18" max="18" width="25" customWidth="1"/>
    <col min="19" max="19" width="17" customWidth="1"/>
    <col min="20" max="20" width="13" customWidth="1"/>
    <col min="21" max="21" width="20" customWidth="1"/>
  </cols>
  <sheetData>
    <row r="1" ht="38" customHeight="1" spans="1:21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0" customHeight="1" spans="1:2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30" customHeight="1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44" customHeight="1" spans="1:21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52</v>
      </c>
      <c r="N4" s="3" t="s">
        <v>53</v>
      </c>
      <c r="O4" s="3" t="s">
        <v>54</v>
      </c>
      <c r="P4" s="3" t="s">
        <v>55</v>
      </c>
      <c r="Q4" s="2"/>
      <c r="R4" s="3" t="s">
        <v>56</v>
      </c>
      <c r="S4" s="3" t="s">
        <v>57</v>
      </c>
      <c r="T4" s="3"/>
      <c r="U4" s="3"/>
    </row>
    <row r="5" ht="30" customHeight="1" spans="1:21">
      <c r="A5" s="8">
        <v>1</v>
      </c>
      <c r="B5" s="8" t="s">
        <v>58</v>
      </c>
      <c r="C5" s="15">
        <v>0.72366</v>
      </c>
      <c r="D5" s="15">
        <v>0.0101014372855995</v>
      </c>
      <c r="E5" s="15">
        <v>1.211145</v>
      </c>
      <c r="F5" s="14">
        <f>(E5-C5)/C5</f>
        <v>0.673638172622502</v>
      </c>
      <c r="G5" s="14">
        <f>ABS(F5)*100</f>
        <v>67.3638172622502</v>
      </c>
      <c r="H5" s="15">
        <v>0.597690173222496</v>
      </c>
      <c r="I5" s="15">
        <v>0.73759522040039</v>
      </c>
      <c r="J5" s="15">
        <v>0.64668396120009</v>
      </c>
      <c r="K5" s="15">
        <v>0.706740356674833</v>
      </c>
      <c r="L5" s="15">
        <v>0.679702570937533</v>
      </c>
      <c r="M5" s="14">
        <f>AVERAGE(H5:L5)</f>
        <v>0.673682456487068</v>
      </c>
      <c r="N5" s="14">
        <f>_xlfn.STDEV.S(H5:L5)</f>
        <v>0.0541240561058225</v>
      </c>
      <c r="O5" s="10">
        <f>N5/ABS(M5)*100</f>
        <v>8.03406049610578</v>
      </c>
      <c r="P5" s="16">
        <v>58.6</v>
      </c>
      <c r="Q5" s="8"/>
      <c r="R5" s="8" t="s">
        <v>59</v>
      </c>
      <c r="S5" s="8" t="s">
        <v>60</v>
      </c>
      <c r="T5" s="8"/>
      <c r="U5" s="8"/>
    </row>
    <row r="6" ht="30" customHeight="1" spans="1:21">
      <c r="A6" s="8">
        <v>2</v>
      </c>
      <c r="B6" s="8" t="s">
        <v>61</v>
      </c>
      <c r="C6" s="15">
        <v>0.9284375</v>
      </c>
      <c r="D6" s="15">
        <v>0.00732576916615852</v>
      </c>
      <c r="E6" s="15">
        <v>1.2920325</v>
      </c>
      <c r="F6" s="14">
        <f>(E6-C6)/C6</f>
        <v>0.391620329855268</v>
      </c>
      <c r="G6" s="14">
        <f>ABS(F6)*100</f>
        <v>39.1620329855268</v>
      </c>
      <c r="H6" s="15">
        <v>0.373107338533373</v>
      </c>
      <c r="I6" s="15">
        <v>0.379798065577287</v>
      </c>
      <c r="J6" s="15">
        <v>0.406173496540713</v>
      </c>
      <c r="K6" s="15">
        <v>0.392078957014404</v>
      </c>
      <c r="L6" s="15">
        <v>0.406861683406882</v>
      </c>
      <c r="M6" s="14">
        <f>AVERAGE(H6:L6)</f>
        <v>0.391603908214532</v>
      </c>
      <c r="N6" s="14">
        <f>_xlfn.STDEV.S(H6:L6)</f>
        <v>0.0152216892091704</v>
      </c>
      <c r="O6" s="10">
        <f>N6/ABS(M6)*100</f>
        <v>3.88701156701211</v>
      </c>
      <c r="P6" s="16">
        <v>78.6</v>
      </c>
      <c r="Q6" s="8"/>
      <c r="R6" s="8" t="s">
        <v>62</v>
      </c>
      <c r="S6" s="8">
        <v>120</v>
      </c>
      <c r="T6" s="8"/>
      <c r="U6" s="8"/>
    </row>
    <row r="7" ht="30" customHeight="1" spans="1:21">
      <c r="A7" s="8">
        <v>3</v>
      </c>
      <c r="B7" s="8" t="s">
        <v>63</v>
      </c>
      <c r="C7" s="15">
        <v>1.09963333333333</v>
      </c>
      <c r="D7" s="15">
        <v>0.0143134088078355</v>
      </c>
      <c r="E7" s="15">
        <v>1.6799575</v>
      </c>
      <c r="F7" s="14">
        <f>(E7-C7)/C7</f>
        <v>0.527743338688654</v>
      </c>
      <c r="G7" s="14">
        <f>ABS(F7)*100</f>
        <v>52.7743338688654</v>
      </c>
      <c r="H7" s="15">
        <v>0.52253529309243</v>
      </c>
      <c r="I7" s="15">
        <v>0.491241617248213</v>
      </c>
      <c r="J7" s="15">
        <v>0.551542804845304</v>
      </c>
      <c r="K7" s="15">
        <v>0.524069775303689</v>
      </c>
      <c r="L7" s="15">
        <v>0.548747885762078</v>
      </c>
      <c r="M7" s="14">
        <f>AVERAGE(H7:L7)</f>
        <v>0.527627475250343</v>
      </c>
      <c r="N7" s="14">
        <f>_xlfn.STDEV.S(H7:L7)</f>
        <v>0.0243953527357709</v>
      </c>
      <c r="O7" s="10">
        <f>N7/ABS(M7)*100</f>
        <v>4.62359408485998</v>
      </c>
      <c r="P7" s="16">
        <v>80.6</v>
      </c>
      <c r="Q7" s="8"/>
      <c r="R7" s="8" t="s">
        <v>64</v>
      </c>
      <c r="S7" s="8">
        <v>120</v>
      </c>
      <c r="T7" s="8"/>
      <c r="U7" s="8"/>
    </row>
    <row r="8" ht="30" customHeight="1" spans="1:21">
      <c r="A8" s="8">
        <v>4</v>
      </c>
      <c r="B8" s="8" t="s">
        <v>65</v>
      </c>
      <c r="C8" s="17">
        <v>85921.7064522374</v>
      </c>
      <c r="D8" s="17">
        <v>928.037198438786</v>
      </c>
      <c r="E8" s="17">
        <v>48906.6849717007</v>
      </c>
      <c r="F8" s="14">
        <f>(E8-C8)/C8</f>
        <v>-0.430799422042586</v>
      </c>
      <c r="G8" s="14">
        <f>ABS(F8)*100</f>
        <v>43.0799422042586</v>
      </c>
      <c r="H8" s="15">
        <v>-0.46468275800231</v>
      </c>
      <c r="I8" s="15">
        <v>-0.450296796869704</v>
      </c>
      <c r="J8" s="15">
        <v>-0.411616097643485</v>
      </c>
      <c r="K8" s="15">
        <v>-0.449542741887466</v>
      </c>
      <c r="L8" s="15">
        <v>-0.378461306275547</v>
      </c>
      <c r="M8" s="14">
        <f>AVERAGE(H8:L8)</f>
        <v>-0.430919940135703</v>
      </c>
      <c r="N8" s="14">
        <f>_xlfn.STDEV.S(H8:L8)</f>
        <v>0.0353084472672879</v>
      </c>
      <c r="O8" s="10">
        <f>N8/ABS(M8)*100</f>
        <v>8.19373716058922</v>
      </c>
      <c r="P8" s="16">
        <v>97.4</v>
      </c>
      <c r="Q8" s="8"/>
      <c r="R8" s="8" t="s">
        <v>66</v>
      </c>
      <c r="S8" s="8">
        <v>4</v>
      </c>
      <c r="T8" s="8"/>
      <c r="U8" s="8"/>
    </row>
    <row r="9" ht="30" customHeight="1" spans="1:2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 t="s">
        <v>67</v>
      </c>
      <c r="S9" s="10">
        <f>MAX(O5:O8)</f>
        <v>8.19373716058922</v>
      </c>
      <c r="T9" s="8"/>
      <c r="U9" s="8"/>
    </row>
    <row r="10" ht="30" customHeight="1" spans="1:2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 t="s">
        <v>68</v>
      </c>
      <c r="S10" s="10">
        <v>3.73051375898061</v>
      </c>
      <c r="T10" s="8"/>
      <c r="U10" s="8"/>
    </row>
    <row r="11" ht="44" customHeight="1" spans="1:21">
      <c r="A11" s="18"/>
      <c r="B11" s="18"/>
      <c r="C11" s="18"/>
      <c r="D11" s="1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ht="30" customHeight="1" spans="1:21">
      <c r="A12" s="8"/>
      <c r="B12" s="8"/>
      <c r="C12" s="16"/>
      <c r="D12" s="16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ht="30" customHeight="1" spans="1:21">
      <c r="A13" s="8"/>
      <c r="B13" s="8"/>
      <c r="C13" s="16"/>
      <c r="D13" s="16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ht="30" customHeight="1" spans="1:21">
      <c r="A14" s="8"/>
      <c r="B14" s="8"/>
      <c r="C14" s="16"/>
      <c r="D14" s="16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ht="30" customHeight="1" spans="1:21">
      <c r="A15" s="8"/>
      <c r="B15" s="8"/>
      <c r="C15" s="16"/>
      <c r="D15" s="16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</sheetData>
  <mergeCells count="1">
    <mergeCell ref="A1:U1"/>
  </mergeCells>
  <conditionalFormatting sqref="O5:O14">
    <cfRule type="expression" dxfId="0" priority="1">
      <formula>O5&lt;10</formula>
    </cfRule>
    <cfRule type="expression" dxfId="1" priority="2">
      <formula>O5&gt;=10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"/>
  <sheetViews>
    <sheetView showGridLines="0" workbookViewId="0">
      <pane ySplit="4" topLeftCell="A5" activePane="bottomLeft" state="frozen"/>
      <selection/>
      <selection pane="bottomLeft" activeCell="A1" sqref="A1:V1"/>
    </sheetView>
  </sheetViews>
  <sheetFormatPr defaultColWidth="9" defaultRowHeight="14.5"/>
  <cols>
    <col min="1" max="1" width="17" customWidth="1"/>
    <col min="2" max="2" width="28" customWidth="1"/>
    <col min="3" max="4" width="13" customWidth="1"/>
    <col min="5" max="6" width="14" customWidth="1"/>
    <col min="7" max="7" width="13" customWidth="1"/>
    <col min="8" max="10" width="15" customWidth="1"/>
    <col min="11" max="11" width="14" customWidth="1"/>
    <col min="12" max="12" width="18" customWidth="1"/>
    <col min="13" max="14" width="17" customWidth="1"/>
    <col min="15" max="15" width="15" customWidth="1"/>
    <col min="16" max="17" width="18" customWidth="1"/>
    <col min="18" max="18" width="3" customWidth="1"/>
    <col min="19" max="19" width="27" customWidth="1"/>
    <col min="20" max="20" width="16" customWidth="1"/>
    <col min="21" max="22" width="17" customWidth="1"/>
  </cols>
  <sheetData>
    <row r="1" ht="38" customHeight="1" spans="1:22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30" customHeight="1" spans="1:2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30" customHeight="1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44" customHeight="1" spans="1:22">
      <c r="A4" s="3" t="s">
        <v>70</v>
      </c>
      <c r="B4" s="3" t="s">
        <v>71</v>
      </c>
      <c r="C4" s="3" t="s">
        <v>6</v>
      </c>
      <c r="D4" s="3" t="s">
        <v>72</v>
      </c>
      <c r="E4" s="3" t="s">
        <v>73</v>
      </c>
      <c r="F4" s="3" t="s">
        <v>74</v>
      </c>
      <c r="G4" s="3" t="s">
        <v>75</v>
      </c>
      <c r="H4" s="3" t="s">
        <v>76</v>
      </c>
      <c r="I4" s="3" t="s">
        <v>77</v>
      </c>
      <c r="J4" s="3" t="s">
        <v>78</v>
      </c>
      <c r="K4" s="3" t="s">
        <v>79</v>
      </c>
      <c r="L4" s="3" t="s">
        <v>80</v>
      </c>
      <c r="M4" s="3" t="s">
        <v>81</v>
      </c>
      <c r="N4" s="3" t="s">
        <v>82</v>
      </c>
      <c r="O4" s="3" t="s">
        <v>83</v>
      </c>
      <c r="P4" s="3" t="s">
        <v>84</v>
      </c>
      <c r="Q4" s="3" t="s">
        <v>85</v>
      </c>
      <c r="R4" s="2"/>
      <c r="S4" s="3" t="s">
        <v>86</v>
      </c>
      <c r="T4" s="3" t="s">
        <v>87</v>
      </c>
      <c r="U4" s="3"/>
      <c r="V4" s="3" t="s">
        <v>88</v>
      </c>
    </row>
    <row r="5" ht="30" customHeight="1" spans="1:22">
      <c r="A5" s="8" t="s">
        <v>89</v>
      </c>
      <c r="B5" s="8" t="s">
        <v>90</v>
      </c>
      <c r="C5" s="8">
        <v>30</v>
      </c>
      <c r="D5" s="8">
        <v>1</v>
      </c>
      <c r="E5" s="8">
        <f t="shared" ref="E5:E14" si="0">C5*60*D5</f>
        <v>1800</v>
      </c>
      <c r="F5" s="8">
        <v>1795</v>
      </c>
      <c r="G5" s="10">
        <f t="shared" ref="G5:G14" si="1">F5/E5*100</f>
        <v>99.7222222222222</v>
      </c>
      <c r="H5" s="10">
        <v>24.4548969359331</v>
      </c>
      <c r="I5" s="10">
        <v>24.22</v>
      </c>
      <c r="J5" s="10">
        <v>24.68</v>
      </c>
      <c r="K5" s="10">
        <v>0.077651050098918</v>
      </c>
      <c r="L5" s="10">
        <v>24.2717225621509</v>
      </c>
      <c r="M5" s="10">
        <f t="shared" ref="M5:M14" si="2">ABS(H5-L5)</f>
        <v>0.183174373782244</v>
      </c>
      <c r="N5" s="10">
        <v>70.022651810585</v>
      </c>
      <c r="O5" s="10">
        <v>0.347084831660494</v>
      </c>
      <c r="P5" s="10">
        <v>69.2836674502597</v>
      </c>
      <c r="Q5" s="10">
        <f t="shared" ref="Q5:Q14" si="3">ABS(N5-P5)</f>
        <v>0.738984360325247</v>
      </c>
      <c r="R5" s="8"/>
      <c r="S5" s="8" t="s">
        <v>91</v>
      </c>
      <c r="T5" s="14">
        <f>MIN(G5:G14)</f>
        <v>99.7222222222222</v>
      </c>
      <c r="U5" s="8"/>
      <c r="V5" s="8" t="str">
        <f>IF(T5="","",IF(T5&gt;99,"达标","复查"))</f>
        <v>达标</v>
      </c>
    </row>
    <row r="6" ht="30" customHeight="1" spans="1:22">
      <c r="A6" s="8" t="s">
        <v>92</v>
      </c>
      <c r="B6" s="8" t="s">
        <v>93</v>
      </c>
      <c r="C6" s="8">
        <v>30</v>
      </c>
      <c r="D6" s="8">
        <v>1</v>
      </c>
      <c r="E6" s="8">
        <f t="shared" si="0"/>
        <v>1800</v>
      </c>
      <c r="F6" s="8">
        <v>1795</v>
      </c>
      <c r="G6" s="10">
        <f t="shared" si="1"/>
        <v>99.7222222222222</v>
      </c>
      <c r="H6" s="10">
        <v>24.8423955431755</v>
      </c>
      <c r="I6" s="10">
        <v>24.48</v>
      </c>
      <c r="J6" s="10">
        <v>25.17</v>
      </c>
      <c r="K6" s="10">
        <v>0.14535371680889</v>
      </c>
      <c r="L6" s="10">
        <v>25.0097013104433</v>
      </c>
      <c r="M6" s="10">
        <f t="shared" si="2"/>
        <v>0.167305767267841</v>
      </c>
      <c r="N6" s="10">
        <v>79.4825682451253</v>
      </c>
      <c r="O6" s="10">
        <v>0.222873776823897</v>
      </c>
      <c r="P6" s="10">
        <v>80.9882960159253</v>
      </c>
      <c r="Q6" s="10">
        <f t="shared" si="3"/>
        <v>1.50572777079999</v>
      </c>
      <c r="R6" s="8"/>
      <c r="S6" s="8" t="s">
        <v>94</v>
      </c>
      <c r="T6" s="14">
        <f>MAX(M5:M14)</f>
        <v>0.197419677261532</v>
      </c>
      <c r="U6" s="8"/>
      <c r="V6" s="8" t="str">
        <f>IF(T6="","",IF(T6&lt;0.5,"达标","复查"))</f>
        <v>达标</v>
      </c>
    </row>
    <row r="7" ht="30" customHeight="1" spans="1:22">
      <c r="A7" s="8" t="s">
        <v>95</v>
      </c>
      <c r="B7" s="8" t="s">
        <v>90</v>
      </c>
      <c r="C7" s="8">
        <v>30</v>
      </c>
      <c r="D7" s="8">
        <v>1</v>
      </c>
      <c r="E7" s="8">
        <f t="shared" si="0"/>
        <v>1800</v>
      </c>
      <c r="F7" s="8">
        <v>1800</v>
      </c>
      <c r="G7" s="10">
        <f t="shared" si="1"/>
        <v>100</v>
      </c>
      <c r="H7" s="10">
        <v>24.6343722222222</v>
      </c>
      <c r="I7" s="10">
        <v>24.42</v>
      </c>
      <c r="J7" s="10">
        <v>24.85</v>
      </c>
      <c r="K7" s="10">
        <v>0.0657292888822027</v>
      </c>
      <c r="L7" s="10">
        <v>24.4503975009916</v>
      </c>
      <c r="M7" s="10">
        <f t="shared" si="2"/>
        <v>0.183974721230602</v>
      </c>
      <c r="N7" s="10">
        <v>70.7623055555556</v>
      </c>
      <c r="O7" s="10">
        <v>0.216943664599892</v>
      </c>
      <c r="P7" s="10">
        <v>70.0077161386817</v>
      </c>
      <c r="Q7" s="10">
        <f t="shared" si="3"/>
        <v>0.754589416873841</v>
      </c>
      <c r="R7" s="8"/>
      <c r="S7" s="8" t="s">
        <v>96</v>
      </c>
      <c r="T7" s="14">
        <f>MAX(Q5:Q14)</f>
        <v>1.50572777079999</v>
      </c>
      <c r="U7" s="8"/>
      <c r="V7" s="8" t="str">
        <f>IF(T7="","",IF(T7&lt;3,"达标","复查"))</f>
        <v>达标</v>
      </c>
    </row>
    <row r="8" ht="30" customHeight="1" spans="1:22">
      <c r="A8" s="8" t="s">
        <v>97</v>
      </c>
      <c r="B8" s="8" t="s">
        <v>93</v>
      </c>
      <c r="C8" s="8">
        <v>30</v>
      </c>
      <c r="D8" s="8">
        <v>1</v>
      </c>
      <c r="E8" s="8">
        <f t="shared" si="0"/>
        <v>1800</v>
      </c>
      <c r="F8" s="8">
        <v>1800</v>
      </c>
      <c r="G8" s="10">
        <f t="shared" si="1"/>
        <v>100</v>
      </c>
      <c r="H8" s="10">
        <v>25.2601555555556</v>
      </c>
      <c r="I8" s="10">
        <v>24.94</v>
      </c>
      <c r="J8" s="10">
        <v>25.55</v>
      </c>
      <c r="K8" s="10">
        <v>0.115210025109532</v>
      </c>
      <c r="L8" s="10">
        <v>25.4225383807322</v>
      </c>
      <c r="M8" s="10">
        <f t="shared" si="2"/>
        <v>0.162382825176604</v>
      </c>
      <c r="N8" s="10">
        <v>79.6568055555556</v>
      </c>
      <c r="O8" s="10">
        <v>0.184184774336869</v>
      </c>
      <c r="P8" s="10">
        <v>81.1442807877004</v>
      </c>
      <c r="Q8" s="10">
        <f t="shared" si="3"/>
        <v>1.48747523214483</v>
      </c>
      <c r="R8" s="8"/>
      <c r="S8" s="8" t="s">
        <v>98</v>
      </c>
      <c r="T8" s="14">
        <v>30</v>
      </c>
      <c r="U8" s="8"/>
      <c r="V8" s="8" t="str">
        <f>IF(T8="","",IF(T8&gt;=30,"达标","复查"))</f>
        <v>达标</v>
      </c>
    </row>
    <row r="9" ht="30" customHeight="1" spans="1:22">
      <c r="A9" s="8" t="s">
        <v>99</v>
      </c>
      <c r="B9" s="8" t="s">
        <v>90</v>
      </c>
      <c r="C9" s="8">
        <v>30</v>
      </c>
      <c r="D9" s="8">
        <v>1</v>
      </c>
      <c r="E9" s="8">
        <f t="shared" si="0"/>
        <v>1800</v>
      </c>
      <c r="F9" s="8">
        <v>1799</v>
      </c>
      <c r="G9" s="10">
        <f t="shared" si="1"/>
        <v>99.9444444444444</v>
      </c>
      <c r="H9" s="10">
        <v>24.7425792106726</v>
      </c>
      <c r="I9" s="10">
        <v>24.57</v>
      </c>
      <c r="J9" s="10">
        <v>24.93</v>
      </c>
      <c r="K9" s="10">
        <v>0.0524602315741954</v>
      </c>
      <c r="L9" s="10">
        <v>24.5515213919005</v>
      </c>
      <c r="M9" s="10">
        <f t="shared" si="2"/>
        <v>0.191057818772073</v>
      </c>
      <c r="N9" s="10">
        <v>70.8032240133407</v>
      </c>
      <c r="O9" s="10">
        <v>0.208892546692673</v>
      </c>
      <c r="P9" s="10">
        <v>70.0307063668249</v>
      </c>
      <c r="Q9" s="10">
        <f t="shared" si="3"/>
        <v>0.772517646515823</v>
      </c>
      <c r="R9" s="8"/>
      <c r="S9" s="8"/>
      <c r="T9" s="8"/>
      <c r="U9" s="8"/>
      <c r="V9" s="8"/>
    </row>
    <row r="10" ht="30" customHeight="1" spans="1:22">
      <c r="A10" s="8" t="s">
        <v>100</v>
      </c>
      <c r="B10" s="8" t="s">
        <v>93</v>
      </c>
      <c r="C10" s="8">
        <v>30</v>
      </c>
      <c r="D10" s="8">
        <v>1</v>
      </c>
      <c r="E10" s="8">
        <f t="shared" si="0"/>
        <v>1800</v>
      </c>
      <c r="F10" s="8">
        <v>1799</v>
      </c>
      <c r="G10" s="10">
        <f t="shared" si="1"/>
        <v>99.9444444444444</v>
      </c>
      <c r="H10" s="10">
        <v>25.549694274597</v>
      </c>
      <c r="I10" s="10">
        <v>25.3</v>
      </c>
      <c r="J10" s="10">
        <v>25.79</v>
      </c>
      <c r="K10" s="10">
        <v>0.08119906412658</v>
      </c>
      <c r="L10" s="10">
        <v>25.7087140890996</v>
      </c>
      <c r="M10" s="10">
        <f t="shared" si="2"/>
        <v>0.159019814502628</v>
      </c>
      <c r="N10" s="10">
        <v>79.1551917732073</v>
      </c>
      <c r="O10" s="10">
        <v>0.315829424152205</v>
      </c>
      <c r="P10" s="10">
        <v>80.6215260916853</v>
      </c>
      <c r="Q10" s="10">
        <f t="shared" si="3"/>
        <v>1.46633431847796</v>
      </c>
      <c r="R10" s="8"/>
      <c r="S10" s="8"/>
      <c r="T10" s="8"/>
      <c r="U10" s="8"/>
      <c r="V10" s="8"/>
    </row>
    <row r="11" ht="30" customHeight="1" spans="1:22">
      <c r="A11" s="8" t="s">
        <v>101</v>
      </c>
      <c r="B11" s="8" t="s">
        <v>90</v>
      </c>
      <c r="C11" s="8">
        <v>30</v>
      </c>
      <c r="D11" s="8">
        <v>1</v>
      </c>
      <c r="E11" s="8">
        <f t="shared" si="0"/>
        <v>1800</v>
      </c>
      <c r="F11" s="8">
        <v>1800</v>
      </c>
      <c r="G11" s="10">
        <f t="shared" si="1"/>
        <v>100</v>
      </c>
      <c r="H11" s="10">
        <v>24.7447666666667</v>
      </c>
      <c r="I11" s="10">
        <v>24.57</v>
      </c>
      <c r="J11" s="10">
        <v>24.92</v>
      </c>
      <c r="K11" s="10">
        <v>0.0526913358726294</v>
      </c>
      <c r="L11" s="10">
        <v>24.5527466178794</v>
      </c>
      <c r="M11" s="10">
        <f t="shared" si="2"/>
        <v>0.192020048787239</v>
      </c>
      <c r="N11" s="10">
        <v>70.1188</v>
      </c>
      <c r="O11" s="10">
        <v>0.34106135880877</v>
      </c>
      <c r="P11" s="10">
        <v>69.3298014677457</v>
      </c>
      <c r="Q11" s="10">
        <f t="shared" si="3"/>
        <v>0.788998532254311</v>
      </c>
      <c r="R11" s="8"/>
      <c r="S11" s="8"/>
      <c r="T11" s="8"/>
      <c r="U11" s="8"/>
      <c r="V11" s="8"/>
    </row>
    <row r="12" ht="30" customHeight="1" spans="1:22">
      <c r="A12" s="8" t="s">
        <v>102</v>
      </c>
      <c r="B12" s="8" t="s">
        <v>93</v>
      </c>
      <c r="C12" s="8">
        <v>30</v>
      </c>
      <c r="D12" s="8">
        <v>1</v>
      </c>
      <c r="E12" s="8">
        <f t="shared" si="0"/>
        <v>1800</v>
      </c>
      <c r="F12" s="8">
        <v>1800</v>
      </c>
      <c r="G12" s="10">
        <f t="shared" si="1"/>
        <v>100</v>
      </c>
      <c r="H12" s="10">
        <v>25.6969777777778</v>
      </c>
      <c r="I12" s="10">
        <v>25.52</v>
      </c>
      <c r="J12" s="10">
        <v>25.87</v>
      </c>
      <c r="K12" s="10">
        <v>0.0572462334634674</v>
      </c>
      <c r="L12" s="10">
        <v>25.8503212376721</v>
      </c>
      <c r="M12" s="10">
        <f t="shared" si="2"/>
        <v>0.153343459894295</v>
      </c>
      <c r="N12" s="10">
        <v>77.9629111111111</v>
      </c>
      <c r="O12" s="10">
        <v>0.473325224429285</v>
      </c>
      <c r="P12" s="10">
        <v>79.405390384572</v>
      </c>
      <c r="Q12" s="10">
        <f t="shared" si="3"/>
        <v>1.44247927346085</v>
      </c>
      <c r="R12" s="8"/>
      <c r="S12" s="8"/>
      <c r="T12" s="8"/>
      <c r="U12" s="8"/>
      <c r="V12" s="8"/>
    </row>
    <row r="13" ht="30" customHeight="1" spans="1:22">
      <c r="A13" s="8" t="s">
        <v>103</v>
      </c>
      <c r="B13" s="8" t="s">
        <v>90</v>
      </c>
      <c r="C13" s="8">
        <v>30</v>
      </c>
      <c r="D13" s="8">
        <v>1</v>
      </c>
      <c r="E13" s="8">
        <f t="shared" si="0"/>
        <v>1800</v>
      </c>
      <c r="F13" s="8">
        <v>1800</v>
      </c>
      <c r="G13" s="10">
        <f t="shared" si="1"/>
        <v>100</v>
      </c>
      <c r="H13" s="10">
        <v>24.6468944444444</v>
      </c>
      <c r="I13" s="10">
        <v>24.45</v>
      </c>
      <c r="J13" s="10">
        <v>24.84</v>
      </c>
      <c r="K13" s="10">
        <v>0.06366401849508</v>
      </c>
      <c r="L13" s="10">
        <v>24.4494747671829</v>
      </c>
      <c r="M13" s="10">
        <f t="shared" si="2"/>
        <v>0.197419677261532</v>
      </c>
      <c r="N13" s="10">
        <v>68.9860833333333</v>
      </c>
      <c r="O13" s="10">
        <v>0.400204010995515</v>
      </c>
      <c r="P13" s="10">
        <v>68.1768326858746</v>
      </c>
      <c r="Q13" s="10">
        <f t="shared" si="3"/>
        <v>0.809250647458711</v>
      </c>
      <c r="R13" s="8"/>
      <c r="S13" s="8"/>
      <c r="T13" s="8"/>
      <c r="U13" s="8"/>
      <c r="V13" s="8"/>
    </row>
    <row r="14" ht="30" customHeight="1" spans="1:22">
      <c r="A14" s="8" t="s">
        <v>104</v>
      </c>
      <c r="B14" s="8" t="s">
        <v>93</v>
      </c>
      <c r="C14" s="8">
        <v>30</v>
      </c>
      <c r="D14" s="8">
        <v>1</v>
      </c>
      <c r="E14" s="8">
        <f t="shared" si="0"/>
        <v>1800</v>
      </c>
      <c r="F14" s="8">
        <v>1800</v>
      </c>
      <c r="G14" s="10">
        <f t="shared" si="1"/>
        <v>100</v>
      </c>
      <c r="H14" s="10">
        <v>25.7135944444444</v>
      </c>
      <c r="I14" s="10">
        <v>25.52</v>
      </c>
      <c r="J14" s="10">
        <v>25.88</v>
      </c>
      <c r="K14" s="10">
        <v>0.0524722004507815</v>
      </c>
      <c r="L14" s="10">
        <v>25.8588027203839</v>
      </c>
      <c r="M14" s="10">
        <f t="shared" si="2"/>
        <v>0.145208275939435</v>
      </c>
      <c r="N14" s="10">
        <v>76.3460888888889</v>
      </c>
      <c r="O14" s="10">
        <v>0.525622458903664</v>
      </c>
      <c r="P14" s="10">
        <v>77.7567914385807</v>
      </c>
      <c r="Q14" s="10">
        <f t="shared" si="3"/>
        <v>1.41070254969185</v>
      </c>
      <c r="R14" s="8"/>
      <c r="S14" s="8"/>
      <c r="T14" s="8"/>
      <c r="U14" s="8"/>
      <c r="V14" s="8"/>
    </row>
  </sheetData>
  <mergeCells count="1">
    <mergeCell ref="A1:V1"/>
  </mergeCells>
  <conditionalFormatting sqref="G5:G14">
    <cfRule type="expression" dxfId="0" priority="1">
      <formula>G5&gt;99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showGridLines="0" workbookViewId="0">
      <pane ySplit="4" topLeftCell="A5" activePane="bottomLeft" state="frozen"/>
      <selection/>
      <selection pane="bottomLeft" activeCell="A1" sqref="A1:R1"/>
    </sheetView>
  </sheetViews>
  <sheetFormatPr defaultColWidth="9" defaultRowHeight="14.5"/>
  <cols>
    <col min="1" max="1" width="16" customWidth="1"/>
    <col min="2" max="6" width="14" customWidth="1"/>
    <col min="7" max="7" width="16" customWidth="1"/>
    <col min="8" max="10" width="15" customWidth="1"/>
    <col min="11" max="11" width="13" customWidth="1"/>
    <col min="12" max="12" width="17" customWidth="1"/>
    <col min="13" max="13" width="18" customWidth="1"/>
    <col min="14" max="14" width="3" customWidth="1"/>
    <col min="15" max="15" width="28" customWidth="1"/>
    <col min="16" max="16" width="18" customWidth="1"/>
    <col min="17" max="17" width="15" customWidth="1"/>
    <col min="18" max="18" width="20" customWidth="1"/>
  </cols>
  <sheetData>
    <row r="1" ht="38" customHeight="1" spans="1:18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30" customHeight="1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0" customHeight="1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44" customHeight="1" spans="1:18">
      <c r="A4" s="3" t="s">
        <v>106</v>
      </c>
      <c r="B4" s="3" t="s">
        <v>107</v>
      </c>
      <c r="C4" s="3" t="s">
        <v>108</v>
      </c>
      <c r="D4" s="3" t="s">
        <v>109</v>
      </c>
      <c r="E4" s="3" t="s">
        <v>110</v>
      </c>
      <c r="F4" s="3" t="s">
        <v>111</v>
      </c>
      <c r="G4" s="3" t="s">
        <v>112</v>
      </c>
      <c r="H4" s="3" t="s">
        <v>113</v>
      </c>
      <c r="I4" s="3" t="s">
        <v>114</v>
      </c>
      <c r="J4" s="3" t="s">
        <v>115</v>
      </c>
      <c r="K4" s="3" t="s">
        <v>54</v>
      </c>
      <c r="L4" s="3" t="s">
        <v>116</v>
      </c>
      <c r="M4" s="3" t="s">
        <v>117</v>
      </c>
      <c r="N4" s="2"/>
      <c r="O4" s="3" t="s">
        <v>86</v>
      </c>
      <c r="P4" s="3" t="s">
        <v>87</v>
      </c>
      <c r="Q4" s="3"/>
      <c r="R4" s="3" t="s">
        <v>118</v>
      </c>
    </row>
    <row r="5" ht="30" customHeight="1" spans="1:18">
      <c r="A5" s="10">
        <v>500</v>
      </c>
      <c r="B5" s="10">
        <v>501.25</v>
      </c>
      <c r="C5" s="10">
        <v>500.27</v>
      </c>
      <c r="D5" s="10">
        <v>500.3</v>
      </c>
      <c r="E5" s="10">
        <v>502.56</v>
      </c>
      <c r="F5" s="10">
        <v>502.02</v>
      </c>
      <c r="G5" s="10">
        <f t="shared" ref="G5:G14" si="0">AVERAGE(B5:F5)</f>
        <v>501.28</v>
      </c>
      <c r="H5" s="10">
        <f t="shared" ref="H5:H14" si="1">ABS(G5-A5)</f>
        <v>1.27999999999992</v>
      </c>
      <c r="I5" s="10">
        <f t="shared" ref="I5:I14" si="2">H5/A5*100</f>
        <v>0.255999999999983</v>
      </c>
      <c r="J5" s="10">
        <f t="shared" ref="J5:J14" si="3">_xlfn.STDEV.S(B5:F5)</f>
        <v>1.02071053683206</v>
      </c>
      <c r="K5" s="10">
        <f t="shared" ref="K5:K14" si="4">J5/ABS(G5)*100</f>
        <v>0.203620838021079</v>
      </c>
      <c r="L5" s="10">
        <f t="shared" ref="L5:L14" si="5">MAX(B5:F5)-MIN(B5:F5)</f>
        <v>2.29000000000002</v>
      </c>
      <c r="M5" s="8"/>
      <c r="N5" s="8"/>
      <c r="O5" s="8" t="s">
        <v>119</v>
      </c>
      <c r="P5" s="12">
        <f>AVERAGE(I5:I14)</f>
        <v>0.161778095238091</v>
      </c>
      <c r="Q5" s="8"/>
      <c r="R5" s="8" t="str">
        <f>IF(P5="","",IF(P5&lt;1,"很好",IF(P5&lt;2,"可接受","建议复查")))</f>
        <v>很好</v>
      </c>
    </row>
    <row r="6" ht="30" customHeight="1" spans="1:18">
      <c r="A6" s="10">
        <v>1000</v>
      </c>
      <c r="B6" s="10">
        <v>1003.69</v>
      </c>
      <c r="C6" s="10">
        <v>1001.52</v>
      </c>
      <c r="D6" s="10">
        <v>1002.76</v>
      </c>
      <c r="E6" s="10">
        <v>1002.98</v>
      </c>
      <c r="F6" s="10">
        <v>1003.32</v>
      </c>
      <c r="G6" s="10">
        <f t="shared" si="0"/>
        <v>1002.854</v>
      </c>
      <c r="H6" s="10">
        <f t="shared" si="1"/>
        <v>2.85400000000004</v>
      </c>
      <c r="I6" s="10">
        <f t="shared" si="2"/>
        <v>0.285400000000004</v>
      </c>
      <c r="J6" s="10">
        <f t="shared" si="3"/>
        <v>0.824669630821972</v>
      </c>
      <c r="K6" s="10">
        <f t="shared" si="4"/>
        <v>0.0822322721774029</v>
      </c>
      <c r="L6" s="10">
        <f t="shared" si="5"/>
        <v>2.17000000000007</v>
      </c>
      <c r="M6" s="8"/>
      <c r="N6" s="8"/>
      <c r="O6" s="8" t="s">
        <v>120</v>
      </c>
      <c r="P6" s="12">
        <f>MAX(I5:I14)</f>
        <v>0.285400000000004</v>
      </c>
      <c r="Q6" s="8"/>
      <c r="R6" s="8" t="str">
        <f>IF(P6="","",IF(P6&lt;2,"达标","复查"))</f>
        <v>达标</v>
      </c>
    </row>
    <row r="7" ht="30" customHeight="1" spans="1:18">
      <c r="A7" s="10">
        <v>1500</v>
      </c>
      <c r="B7" s="10">
        <v>1501.99</v>
      </c>
      <c r="C7" s="10">
        <v>1503.45</v>
      </c>
      <c r="D7" s="10">
        <v>1501.79</v>
      </c>
      <c r="E7" s="10">
        <v>1502.86</v>
      </c>
      <c r="F7" s="10">
        <v>1501.74</v>
      </c>
      <c r="G7" s="10">
        <f t="shared" si="0"/>
        <v>1502.366</v>
      </c>
      <c r="H7" s="10">
        <f t="shared" si="1"/>
        <v>2.36599999999976</v>
      </c>
      <c r="I7" s="10">
        <f t="shared" si="2"/>
        <v>0.157733333333317</v>
      </c>
      <c r="J7" s="10">
        <f t="shared" si="3"/>
        <v>0.755665269811976</v>
      </c>
      <c r="K7" s="10">
        <f t="shared" si="4"/>
        <v>0.0502983473941753</v>
      </c>
      <c r="L7" s="10">
        <f t="shared" si="5"/>
        <v>1.71000000000004</v>
      </c>
      <c r="M7" s="8"/>
      <c r="N7" s="8"/>
      <c r="O7" s="8" t="s">
        <v>67</v>
      </c>
      <c r="P7" s="12">
        <f>MAX(K5:K14)</f>
        <v>0.203620838021079</v>
      </c>
      <c r="Q7" s="8"/>
      <c r="R7" s="8" t="str">
        <f>IF(P7="","",IF(P7&lt;2,"达标","复查"))</f>
        <v>达标</v>
      </c>
    </row>
    <row r="8" ht="30" customHeight="1" spans="1:18">
      <c r="A8" s="10">
        <v>2000</v>
      </c>
      <c r="B8" s="10">
        <v>2005.5</v>
      </c>
      <c r="C8" s="10">
        <v>2004.11</v>
      </c>
      <c r="D8" s="10">
        <v>2004.11</v>
      </c>
      <c r="E8" s="10">
        <v>2000.58</v>
      </c>
      <c r="F8" s="10">
        <v>2004.49</v>
      </c>
      <c r="G8" s="10">
        <f t="shared" si="0"/>
        <v>2003.758</v>
      </c>
      <c r="H8" s="10">
        <f t="shared" si="1"/>
        <v>3.75799999999981</v>
      </c>
      <c r="I8" s="10">
        <f t="shared" si="2"/>
        <v>0.187899999999991</v>
      </c>
      <c r="J8" s="10">
        <f t="shared" si="3"/>
        <v>1.86533375029781</v>
      </c>
      <c r="K8" s="10">
        <f t="shared" si="4"/>
        <v>0.0930917680826631</v>
      </c>
      <c r="L8" s="10">
        <f t="shared" si="5"/>
        <v>4.92000000000007</v>
      </c>
      <c r="M8" s="8"/>
      <c r="N8" s="8"/>
      <c r="O8" s="8" t="s">
        <v>121</v>
      </c>
      <c r="P8" s="13">
        <f>RSQ(G5:G14,A5:A14)</f>
        <v>0.999999857528417</v>
      </c>
      <c r="Q8" s="8"/>
      <c r="R8" s="8" t="str">
        <f>IF(P8="","",IF(P8&gt;0.995,"达标","复查"))</f>
        <v>达标</v>
      </c>
    </row>
    <row r="9" ht="30" customHeight="1" spans="1:18">
      <c r="A9" s="10">
        <v>2500</v>
      </c>
      <c r="B9" s="10">
        <v>2503.94</v>
      </c>
      <c r="C9" s="10">
        <v>2503.71</v>
      </c>
      <c r="D9" s="10">
        <v>2504.17</v>
      </c>
      <c r="E9" s="10">
        <v>2502.2</v>
      </c>
      <c r="F9" s="10">
        <v>2504.55</v>
      </c>
      <c r="G9" s="10">
        <f t="shared" si="0"/>
        <v>2503.714</v>
      </c>
      <c r="H9" s="10">
        <f t="shared" si="1"/>
        <v>3.71399999999994</v>
      </c>
      <c r="I9" s="10">
        <f t="shared" si="2"/>
        <v>0.148559999999998</v>
      </c>
      <c r="J9" s="10">
        <f t="shared" si="3"/>
        <v>0.901404459718409</v>
      </c>
      <c r="K9" s="10">
        <f t="shared" si="4"/>
        <v>0.03600269278833</v>
      </c>
      <c r="L9" s="10">
        <f t="shared" si="5"/>
        <v>2.35000000000036</v>
      </c>
      <c r="M9" s="8"/>
      <c r="N9" s="8"/>
      <c r="O9" s="8" t="s">
        <v>122</v>
      </c>
      <c r="P9" s="12" t="s">
        <v>60</v>
      </c>
      <c r="Q9" s="8"/>
      <c r="R9" s="8" t="s">
        <v>60</v>
      </c>
    </row>
    <row r="10" ht="30" customHeight="1" spans="1:18">
      <c r="A10" s="10">
        <v>3000</v>
      </c>
      <c r="B10" s="10">
        <v>3003.8</v>
      </c>
      <c r="C10" s="10">
        <v>3006.65</v>
      </c>
      <c r="D10" s="10">
        <v>3003.83</v>
      </c>
      <c r="E10" s="10">
        <v>3003.79</v>
      </c>
      <c r="F10" s="10">
        <v>3002.59</v>
      </c>
      <c r="G10" s="10">
        <f t="shared" si="0"/>
        <v>3004.132</v>
      </c>
      <c r="H10" s="10">
        <f t="shared" si="1"/>
        <v>4.13200000000006</v>
      </c>
      <c r="I10" s="10">
        <f t="shared" si="2"/>
        <v>0.137733333333335</v>
      </c>
      <c r="J10" s="10">
        <f t="shared" si="3"/>
        <v>1.50303692569411</v>
      </c>
      <c r="K10" s="10">
        <f t="shared" si="4"/>
        <v>0.0500323196748381</v>
      </c>
      <c r="L10" s="10">
        <f t="shared" si="5"/>
        <v>4.05999999999995</v>
      </c>
      <c r="M10" s="8"/>
      <c r="N10" s="8"/>
      <c r="O10" s="8"/>
      <c r="P10" s="8"/>
      <c r="Q10" s="8"/>
      <c r="R10" s="8"/>
    </row>
    <row r="11" ht="30" customHeight="1" spans="1:18">
      <c r="A11" s="10">
        <v>3500</v>
      </c>
      <c r="B11" s="10">
        <v>3506.06</v>
      </c>
      <c r="C11" s="10">
        <v>3504.23</v>
      </c>
      <c r="D11" s="10">
        <v>3505.97</v>
      </c>
      <c r="E11" s="10">
        <v>3504.86</v>
      </c>
      <c r="F11" s="10">
        <v>3503.68</v>
      </c>
      <c r="G11" s="10">
        <f t="shared" si="0"/>
        <v>3504.96</v>
      </c>
      <c r="H11" s="10">
        <f t="shared" si="1"/>
        <v>4.96000000000004</v>
      </c>
      <c r="I11" s="10">
        <f t="shared" si="2"/>
        <v>0.141714285714287</v>
      </c>
      <c r="J11" s="10">
        <f t="shared" si="3"/>
        <v>1.05016665344123</v>
      </c>
      <c r="K11" s="10">
        <f t="shared" si="4"/>
        <v>0.0299623006665193</v>
      </c>
      <c r="L11" s="10">
        <f t="shared" si="5"/>
        <v>2.38000000000011</v>
      </c>
      <c r="M11" s="8"/>
      <c r="N11" s="8"/>
      <c r="O11" s="8"/>
      <c r="P11" s="8"/>
      <c r="Q11" s="8"/>
      <c r="R11" s="8"/>
    </row>
    <row r="12" ht="30" customHeight="1" spans="1:18">
      <c r="A12" s="10">
        <v>4000</v>
      </c>
      <c r="B12" s="10">
        <v>4004.64</v>
      </c>
      <c r="C12" s="10">
        <v>4005.61</v>
      </c>
      <c r="D12" s="10">
        <v>4004.08</v>
      </c>
      <c r="E12" s="10">
        <v>4005.73</v>
      </c>
      <c r="F12" s="10">
        <v>4001.84</v>
      </c>
      <c r="G12" s="10">
        <f t="shared" si="0"/>
        <v>4004.38</v>
      </c>
      <c r="H12" s="10">
        <f t="shared" si="1"/>
        <v>4.38000000000011</v>
      </c>
      <c r="I12" s="10">
        <f t="shared" si="2"/>
        <v>0.109500000000003</v>
      </c>
      <c r="J12" s="10">
        <f t="shared" si="3"/>
        <v>1.57675299270364</v>
      </c>
      <c r="K12" s="10">
        <f t="shared" si="4"/>
        <v>0.0393757084168746</v>
      </c>
      <c r="L12" s="10">
        <f t="shared" si="5"/>
        <v>3.88999999999987</v>
      </c>
      <c r="M12" s="8"/>
      <c r="N12" s="8"/>
      <c r="O12" s="8"/>
      <c r="P12" s="8"/>
      <c r="Q12" s="8"/>
      <c r="R12" s="8"/>
    </row>
    <row r="13" ht="30" customHeight="1" spans="1:18">
      <c r="A13" s="10">
        <v>4500</v>
      </c>
      <c r="B13" s="10">
        <v>4501.55</v>
      </c>
      <c r="C13" s="10">
        <v>4502.84</v>
      </c>
      <c r="D13" s="10">
        <v>4506.51</v>
      </c>
      <c r="E13" s="10">
        <v>4505.14</v>
      </c>
      <c r="F13" s="10">
        <v>4503.94</v>
      </c>
      <c r="G13" s="10">
        <f t="shared" si="0"/>
        <v>4503.996</v>
      </c>
      <c r="H13" s="10">
        <f t="shared" si="1"/>
        <v>3.99600000000009</v>
      </c>
      <c r="I13" s="10">
        <f t="shared" si="2"/>
        <v>0.0888000000000021</v>
      </c>
      <c r="J13" s="10">
        <f t="shared" si="3"/>
        <v>1.93334683903333</v>
      </c>
      <c r="K13" s="10">
        <f t="shared" si="4"/>
        <v>0.0429251455603719</v>
      </c>
      <c r="L13" s="10">
        <f t="shared" si="5"/>
        <v>4.96000000000004</v>
      </c>
      <c r="M13" s="8"/>
      <c r="N13" s="8"/>
      <c r="O13" s="8"/>
      <c r="P13" s="8"/>
      <c r="Q13" s="8"/>
      <c r="R13" s="8"/>
    </row>
    <row r="14" ht="30" customHeight="1" spans="1:18">
      <c r="A14" s="10">
        <v>5000</v>
      </c>
      <c r="B14" s="10">
        <v>5005.5</v>
      </c>
      <c r="C14" s="10">
        <v>5005.19</v>
      </c>
      <c r="D14" s="10">
        <v>5005.87</v>
      </c>
      <c r="E14" s="10">
        <v>5004.6</v>
      </c>
      <c r="F14" s="10">
        <v>5004.95</v>
      </c>
      <c r="G14" s="10">
        <f t="shared" si="0"/>
        <v>5005.222</v>
      </c>
      <c r="H14" s="10">
        <f t="shared" si="1"/>
        <v>5.22199999999975</v>
      </c>
      <c r="I14" s="10">
        <f t="shared" si="2"/>
        <v>0.104439999999995</v>
      </c>
      <c r="J14" s="10">
        <f t="shared" si="3"/>
        <v>0.48966314952208</v>
      </c>
      <c r="K14" s="10">
        <f t="shared" si="4"/>
        <v>0.00978304557764031</v>
      </c>
      <c r="L14" s="10">
        <f t="shared" si="5"/>
        <v>1.26999999999953</v>
      </c>
      <c r="M14" s="8"/>
      <c r="N14" s="8"/>
      <c r="O14" s="8"/>
      <c r="P14" s="8"/>
      <c r="Q14" s="8"/>
      <c r="R14" s="8"/>
    </row>
  </sheetData>
  <mergeCells count="1">
    <mergeCell ref="A1:R1"/>
  </mergeCells>
  <conditionalFormatting sqref="I5:I14">
    <cfRule type="expression" dxfId="0" priority="1">
      <formula>I5&lt;2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showGridLines="0" workbookViewId="0">
      <pane ySplit="4" topLeftCell="A5" activePane="bottomLeft" state="frozen"/>
      <selection/>
      <selection pane="bottomLeft" activeCell="A1" sqref="A1:S1"/>
    </sheetView>
  </sheetViews>
  <sheetFormatPr defaultColWidth="9" defaultRowHeight="14.5"/>
  <cols>
    <col min="1" max="1" width="15" customWidth="1"/>
    <col min="2" max="2" width="16" customWidth="1"/>
    <col min="3" max="3" width="17" customWidth="1"/>
    <col min="4" max="4" width="14" customWidth="1"/>
    <col min="5" max="5" width="16" customWidth="1"/>
    <col min="6" max="6" width="17" customWidth="1"/>
    <col min="7" max="7" width="14" customWidth="1"/>
    <col min="8" max="8" width="13" customWidth="1"/>
    <col min="9" max="10" width="16" customWidth="1"/>
    <col min="11" max="11" width="20" customWidth="1"/>
    <col min="12" max="12" width="18" customWidth="1"/>
    <col min="13" max="14" width="20" customWidth="1"/>
    <col min="15" max="15" width="3" customWidth="1"/>
    <col min="16" max="16" width="26" customWidth="1"/>
    <col min="17" max="17" width="18" customWidth="1"/>
    <col min="18" max="18" width="13" customWidth="1"/>
    <col min="19" max="19" width="20" customWidth="1"/>
  </cols>
  <sheetData>
    <row r="1" ht="38" customHeight="1" spans="1:19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0" customHeight="1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30" customHeight="1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44" customHeight="1" spans="1:19">
      <c r="A4" s="3" t="s">
        <v>70</v>
      </c>
      <c r="B4" s="3" t="s">
        <v>124</v>
      </c>
      <c r="C4" s="3" t="s">
        <v>125</v>
      </c>
      <c r="D4" s="3" t="s">
        <v>72</v>
      </c>
      <c r="E4" s="3" t="s">
        <v>73</v>
      </c>
      <c r="F4" s="3" t="s">
        <v>126</v>
      </c>
      <c r="G4" s="3" t="s">
        <v>75</v>
      </c>
      <c r="H4" s="3" t="s">
        <v>127</v>
      </c>
      <c r="I4" s="3" t="s">
        <v>128</v>
      </c>
      <c r="J4" s="3" t="s">
        <v>129</v>
      </c>
      <c r="K4" s="3" t="s">
        <v>130</v>
      </c>
      <c r="L4" s="3" t="s">
        <v>131</v>
      </c>
      <c r="M4" s="3" t="s">
        <v>132</v>
      </c>
      <c r="N4" s="3" t="s">
        <v>117</v>
      </c>
      <c r="O4" s="2"/>
      <c r="P4" s="3" t="s">
        <v>133</v>
      </c>
      <c r="Q4" s="3" t="s">
        <v>87</v>
      </c>
      <c r="R4" s="3"/>
      <c r="S4" s="3" t="s">
        <v>118</v>
      </c>
    </row>
    <row r="5" ht="30" customHeight="1" spans="1:19">
      <c r="A5" s="8" t="s">
        <v>134</v>
      </c>
      <c r="B5" s="11">
        <v>46292</v>
      </c>
      <c r="C5" s="8">
        <v>30</v>
      </c>
      <c r="D5" s="8">
        <v>1</v>
      </c>
      <c r="E5" s="8">
        <f t="shared" ref="E5:E14" si="0">C5*60*D5</f>
        <v>1800</v>
      </c>
      <c r="F5" s="8">
        <v>1795</v>
      </c>
      <c r="G5" s="10">
        <f t="shared" ref="G5:G14" si="1">F5/E5*100</f>
        <v>99.7222222222222</v>
      </c>
      <c r="H5" s="8">
        <v>5</v>
      </c>
      <c r="I5" s="8">
        <v>0</v>
      </c>
      <c r="J5" s="8" t="s">
        <v>60</v>
      </c>
      <c r="K5" s="8">
        <v>5</v>
      </c>
      <c r="L5" s="8" t="s">
        <v>135</v>
      </c>
      <c r="M5" s="8" t="s">
        <v>136</v>
      </c>
      <c r="N5" s="8"/>
      <c r="O5" s="8"/>
      <c r="P5" s="8" t="s">
        <v>137</v>
      </c>
      <c r="Q5" s="8">
        <f>MAX(C5:C14)</f>
        <v>480</v>
      </c>
      <c r="R5" s="8"/>
      <c r="S5" s="8" t="str">
        <f>IF(Q5="","",IF(Q5&gt;=120,"很好",IF(Q5&gt;=60,"可用","不足")))</f>
        <v>很好</v>
      </c>
    </row>
    <row r="6" ht="30" customHeight="1" spans="1:19">
      <c r="A6" s="8" t="s">
        <v>138</v>
      </c>
      <c r="B6" s="11">
        <v>46292</v>
      </c>
      <c r="C6" s="8">
        <v>60</v>
      </c>
      <c r="D6" s="8">
        <v>1</v>
      </c>
      <c r="E6" s="8">
        <f t="shared" si="0"/>
        <v>3600</v>
      </c>
      <c r="F6" s="8">
        <v>3595</v>
      </c>
      <c r="G6" s="10">
        <f t="shared" si="1"/>
        <v>99.8611111111111</v>
      </c>
      <c r="H6" s="8">
        <v>5</v>
      </c>
      <c r="I6" s="8">
        <v>0</v>
      </c>
      <c r="J6" s="8" t="s">
        <v>60</v>
      </c>
      <c r="K6" s="8">
        <v>5</v>
      </c>
      <c r="L6" s="8" t="s">
        <v>135</v>
      </c>
      <c r="M6" s="8" t="s">
        <v>136</v>
      </c>
      <c r="N6" s="8"/>
      <c r="O6" s="8"/>
      <c r="P6" s="8" t="s">
        <v>139</v>
      </c>
      <c r="Q6" s="10">
        <f>MIN(G5:G14)</f>
        <v>99.7222222222222</v>
      </c>
      <c r="R6" s="8"/>
      <c r="S6" s="8" t="str">
        <f>IF(Q6="","",IF(Q6&gt;99,"达标","复查"))</f>
        <v>达标</v>
      </c>
    </row>
    <row r="7" ht="30" customHeight="1" spans="1:19">
      <c r="A7" s="8" t="s">
        <v>140</v>
      </c>
      <c r="B7" s="11">
        <v>46292</v>
      </c>
      <c r="C7" s="8">
        <v>90</v>
      </c>
      <c r="D7" s="8">
        <v>1</v>
      </c>
      <c r="E7" s="8">
        <f t="shared" si="0"/>
        <v>5400</v>
      </c>
      <c r="F7" s="8">
        <v>5394</v>
      </c>
      <c r="G7" s="10">
        <f t="shared" si="1"/>
        <v>99.8888888888889</v>
      </c>
      <c r="H7" s="8">
        <v>5</v>
      </c>
      <c r="I7" s="8">
        <v>0</v>
      </c>
      <c r="J7" s="8" t="s">
        <v>60</v>
      </c>
      <c r="K7" s="8">
        <v>5</v>
      </c>
      <c r="L7" s="8" t="s">
        <v>135</v>
      </c>
      <c r="M7" s="8" t="s">
        <v>136</v>
      </c>
      <c r="N7" s="8"/>
      <c r="O7" s="8"/>
      <c r="P7" s="8" t="s">
        <v>141</v>
      </c>
      <c r="Q7" s="8">
        <f>I14</f>
        <v>0</v>
      </c>
      <c r="R7" s="8"/>
      <c r="S7" s="8" t="str">
        <f>IF(Q7=0,"达标","复查")</f>
        <v>达标</v>
      </c>
    </row>
    <row r="8" ht="30" customHeight="1" spans="1:19">
      <c r="A8" s="8" t="s">
        <v>142</v>
      </c>
      <c r="B8" s="11">
        <v>46292</v>
      </c>
      <c r="C8" s="8">
        <v>120</v>
      </c>
      <c r="D8" s="8">
        <v>1</v>
      </c>
      <c r="E8" s="8">
        <f t="shared" si="0"/>
        <v>7200</v>
      </c>
      <c r="F8" s="8">
        <v>7194</v>
      </c>
      <c r="G8" s="10">
        <f t="shared" si="1"/>
        <v>99.9166666666667</v>
      </c>
      <c r="H8" s="8">
        <v>5</v>
      </c>
      <c r="I8" s="8">
        <v>0</v>
      </c>
      <c r="J8" s="8" t="s">
        <v>60</v>
      </c>
      <c r="K8" s="8">
        <v>5</v>
      </c>
      <c r="L8" s="8" t="s">
        <v>135</v>
      </c>
      <c r="M8" s="8" t="s">
        <v>136</v>
      </c>
      <c r="N8" s="8"/>
      <c r="O8" s="8"/>
      <c r="P8" s="8" t="s">
        <v>143</v>
      </c>
      <c r="Q8" s="8" t="s">
        <v>60</v>
      </c>
      <c r="R8" s="8"/>
      <c r="S8" s="8" t="s">
        <v>60</v>
      </c>
    </row>
    <row r="9" ht="30" customHeight="1" spans="1:19">
      <c r="A9" s="8" t="s">
        <v>144</v>
      </c>
      <c r="B9" s="11">
        <v>46292</v>
      </c>
      <c r="C9" s="8">
        <v>180</v>
      </c>
      <c r="D9" s="8">
        <v>1</v>
      </c>
      <c r="E9" s="8">
        <f t="shared" si="0"/>
        <v>10800</v>
      </c>
      <c r="F9" s="8">
        <v>10791</v>
      </c>
      <c r="G9" s="10">
        <f t="shared" si="1"/>
        <v>99.9166666666667</v>
      </c>
      <c r="H9" s="8">
        <v>8</v>
      </c>
      <c r="I9" s="8">
        <v>0</v>
      </c>
      <c r="J9" s="8" t="s">
        <v>60</v>
      </c>
      <c r="K9" s="8">
        <v>5</v>
      </c>
      <c r="L9" s="8" t="s">
        <v>135</v>
      </c>
      <c r="M9" s="8" t="s">
        <v>136</v>
      </c>
      <c r="N9" s="8"/>
      <c r="O9" s="8"/>
      <c r="P9" s="8" t="s">
        <v>145</v>
      </c>
      <c r="Q9" s="8">
        <f>MAX(K5:K14)</f>
        <v>12</v>
      </c>
      <c r="R9" s="8"/>
      <c r="S9" s="8" t="s">
        <v>60</v>
      </c>
    </row>
    <row r="10" ht="30" customHeight="1" spans="1:19">
      <c r="A10" s="8" t="s">
        <v>146</v>
      </c>
      <c r="B10" s="11">
        <v>46292</v>
      </c>
      <c r="C10" s="8">
        <v>240</v>
      </c>
      <c r="D10" s="8">
        <v>1</v>
      </c>
      <c r="E10" s="8">
        <f t="shared" si="0"/>
        <v>14400</v>
      </c>
      <c r="F10" s="8">
        <v>14391</v>
      </c>
      <c r="G10" s="10">
        <f t="shared" si="1"/>
        <v>99.9375</v>
      </c>
      <c r="H10" s="8">
        <v>8</v>
      </c>
      <c r="I10" s="8">
        <v>0</v>
      </c>
      <c r="J10" s="8" t="s">
        <v>60</v>
      </c>
      <c r="K10" s="8">
        <v>5</v>
      </c>
      <c r="L10" s="8" t="s">
        <v>135</v>
      </c>
      <c r="M10" s="8" t="s">
        <v>136</v>
      </c>
      <c r="N10" s="8"/>
      <c r="O10" s="8"/>
      <c r="P10" s="8"/>
      <c r="Q10" s="8"/>
      <c r="R10" s="8"/>
      <c r="S10" s="8"/>
    </row>
    <row r="11" ht="30" customHeight="1" spans="1:19">
      <c r="A11" s="8" t="s">
        <v>147</v>
      </c>
      <c r="B11" s="11">
        <v>46292</v>
      </c>
      <c r="C11" s="8">
        <v>300</v>
      </c>
      <c r="D11" s="8">
        <v>1</v>
      </c>
      <c r="E11" s="8">
        <f t="shared" si="0"/>
        <v>18000</v>
      </c>
      <c r="F11" s="8">
        <v>17990</v>
      </c>
      <c r="G11" s="10">
        <f t="shared" si="1"/>
        <v>99.9444444444444</v>
      </c>
      <c r="H11" s="8">
        <v>8</v>
      </c>
      <c r="I11" s="8">
        <v>0</v>
      </c>
      <c r="J11" s="8" t="s">
        <v>60</v>
      </c>
      <c r="K11" s="8">
        <v>5</v>
      </c>
      <c r="L11" s="8" t="s">
        <v>135</v>
      </c>
      <c r="M11" s="8" t="s">
        <v>136</v>
      </c>
      <c r="N11" s="8"/>
      <c r="O11" s="8"/>
      <c r="P11" s="8"/>
      <c r="Q11" s="8"/>
      <c r="R11" s="8"/>
      <c r="S11" s="8"/>
    </row>
    <row r="12" ht="30" customHeight="1" spans="1:19">
      <c r="A12" s="8" t="s">
        <v>148</v>
      </c>
      <c r="B12" s="11">
        <v>46292</v>
      </c>
      <c r="C12" s="8">
        <v>360</v>
      </c>
      <c r="D12" s="8">
        <v>1</v>
      </c>
      <c r="E12" s="8">
        <f t="shared" si="0"/>
        <v>21600</v>
      </c>
      <c r="F12" s="8">
        <v>21578</v>
      </c>
      <c r="G12" s="10">
        <f t="shared" si="1"/>
        <v>99.8981481481482</v>
      </c>
      <c r="H12" s="8">
        <v>20</v>
      </c>
      <c r="I12" s="8">
        <v>0</v>
      </c>
      <c r="J12" s="8" t="s">
        <v>60</v>
      </c>
      <c r="K12" s="8">
        <v>12</v>
      </c>
      <c r="L12" s="8" t="s">
        <v>135</v>
      </c>
      <c r="M12" s="8" t="s">
        <v>136</v>
      </c>
      <c r="N12" s="8"/>
      <c r="O12" s="8"/>
      <c r="P12" s="8"/>
      <c r="Q12" s="8"/>
      <c r="R12" s="8"/>
      <c r="S12" s="8"/>
    </row>
    <row r="13" ht="30" customHeight="1" spans="1:19">
      <c r="A13" s="8" t="s">
        <v>149</v>
      </c>
      <c r="B13" s="11">
        <v>46292</v>
      </c>
      <c r="C13" s="8">
        <v>420</v>
      </c>
      <c r="D13" s="8">
        <v>1</v>
      </c>
      <c r="E13" s="8">
        <f t="shared" si="0"/>
        <v>25200</v>
      </c>
      <c r="F13" s="8">
        <v>25177</v>
      </c>
      <c r="G13" s="10">
        <f t="shared" si="1"/>
        <v>99.9087301587302</v>
      </c>
      <c r="H13" s="8">
        <v>20</v>
      </c>
      <c r="I13" s="8">
        <v>0</v>
      </c>
      <c r="J13" s="8" t="s">
        <v>60</v>
      </c>
      <c r="K13" s="8">
        <v>12</v>
      </c>
      <c r="L13" s="8" t="s">
        <v>135</v>
      </c>
      <c r="M13" s="8" t="s">
        <v>136</v>
      </c>
      <c r="N13" s="8"/>
      <c r="O13" s="8"/>
      <c r="P13" s="8"/>
      <c r="Q13" s="8"/>
      <c r="R13" s="8"/>
      <c r="S13" s="8"/>
    </row>
    <row r="14" ht="30" customHeight="1" spans="1:19">
      <c r="A14" s="8" t="s">
        <v>150</v>
      </c>
      <c r="B14" s="11">
        <v>46292</v>
      </c>
      <c r="C14" s="8">
        <v>480</v>
      </c>
      <c r="D14" s="8">
        <v>1</v>
      </c>
      <c r="E14" s="8">
        <f t="shared" si="0"/>
        <v>28800</v>
      </c>
      <c r="F14" s="8">
        <v>28777</v>
      </c>
      <c r="G14" s="10">
        <f t="shared" si="1"/>
        <v>99.9201388888889</v>
      </c>
      <c r="H14" s="8">
        <v>20</v>
      </c>
      <c r="I14" s="8">
        <v>0</v>
      </c>
      <c r="J14" s="8" t="s">
        <v>60</v>
      </c>
      <c r="K14" s="8">
        <v>12</v>
      </c>
      <c r="L14" s="8" t="s">
        <v>135</v>
      </c>
      <c r="M14" s="8" t="s">
        <v>136</v>
      </c>
      <c r="N14" s="8"/>
      <c r="O14" s="8"/>
      <c r="P14" s="8"/>
      <c r="Q14" s="8"/>
      <c r="R14" s="8"/>
      <c r="S14" s="8"/>
    </row>
  </sheetData>
  <mergeCells count="1">
    <mergeCell ref="A1:S1"/>
  </mergeCells>
  <conditionalFormatting sqref="G5:G14">
    <cfRule type="expression" dxfId="0" priority="1">
      <formula>G5&gt;99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showGridLines="0" workbookViewId="0">
      <pane ySplit="4" topLeftCell="A5" activePane="bottomLeft" state="frozen"/>
      <selection/>
      <selection pane="bottomLeft" activeCell="A1" sqref="A1:Q1"/>
    </sheetView>
  </sheetViews>
  <sheetFormatPr defaultColWidth="9" defaultRowHeight="14.5"/>
  <cols>
    <col min="1" max="1" width="16" customWidth="1"/>
    <col min="2" max="2" width="26" customWidth="1"/>
    <col min="3" max="4" width="15" customWidth="1"/>
    <col min="5" max="5" width="18" customWidth="1"/>
    <col min="6" max="6" width="21" customWidth="1"/>
    <col min="7" max="8" width="18" customWidth="1"/>
    <col min="9" max="11" width="17" customWidth="1"/>
    <col min="12" max="12" width="18" customWidth="1"/>
    <col min="13" max="14" width="16" customWidth="1"/>
    <col min="15" max="15" width="15" customWidth="1"/>
    <col min="16" max="16" width="18" customWidth="1"/>
    <col min="17" max="17" width="20" customWidth="1"/>
  </cols>
  <sheetData>
    <row r="1" ht="38" customHeight="1" spans="1:17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1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30" customHeight="1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44" customHeight="1" spans="1:17">
      <c r="A4" s="3" t="s">
        <v>152</v>
      </c>
      <c r="B4" s="3" t="s">
        <v>34</v>
      </c>
      <c r="C4" s="3" t="s">
        <v>153</v>
      </c>
      <c r="D4" s="3" t="s">
        <v>72</v>
      </c>
      <c r="E4" s="3" t="s">
        <v>154</v>
      </c>
      <c r="F4" s="3" t="s">
        <v>155</v>
      </c>
      <c r="G4" s="3" t="s">
        <v>76</v>
      </c>
      <c r="H4" s="3" t="s">
        <v>82</v>
      </c>
      <c r="I4" s="3" t="s">
        <v>156</v>
      </c>
      <c r="J4" s="3" t="s">
        <v>157</v>
      </c>
      <c r="K4" s="3" t="s">
        <v>158</v>
      </c>
      <c r="L4" s="3" t="s">
        <v>159</v>
      </c>
      <c r="M4" s="3" t="s">
        <v>73</v>
      </c>
      <c r="N4" s="3" t="s">
        <v>160</v>
      </c>
      <c r="O4" s="3" t="s">
        <v>75</v>
      </c>
      <c r="P4" s="3" t="s">
        <v>161</v>
      </c>
      <c r="Q4" s="3" t="s">
        <v>117</v>
      </c>
    </row>
    <row r="5" ht="30" customHeight="1" spans="1:17">
      <c r="A5" s="8" t="s">
        <v>162</v>
      </c>
      <c r="B5" s="8" t="s">
        <v>35</v>
      </c>
      <c r="C5" s="8">
        <v>12</v>
      </c>
      <c r="D5" s="8">
        <v>1</v>
      </c>
      <c r="E5" s="8">
        <v>4</v>
      </c>
      <c r="F5" s="10">
        <v>58.8056592309695</v>
      </c>
      <c r="G5" s="10">
        <v>24.7002777777778</v>
      </c>
      <c r="H5" s="10">
        <v>79.3479583333333</v>
      </c>
      <c r="I5" s="10">
        <v>4004.705</v>
      </c>
      <c r="J5" s="10">
        <v>3994.879</v>
      </c>
      <c r="K5" s="10">
        <f t="shared" ref="K5:K14" si="0">J5-I5</f>
        <v>-9.82600000000002</v>
      </c>
      <c r="L5" s="10">
        <f t="shared" ref="L5:L14" si="1">K5/I5*100</f>
        <v>-0.245361393660707</v>
      </c>
      <c r="M5" s="8">
        <f t="shared" ref="M5:M14" si="2">C5*60*D5</f>
        <v>720</v>
      </c>
      <c r="N5" s="8">
        <v>720</v>
      </c>
      <c r="O5" s="10">
        <f t="shared" ref="O5:O14" si="3">N5/M5*100</f>
        <v>100</v>
      </c>
      <c r="P5" s="8" t="s">
        <v>135</v>
      </c>
      <c r="Q5" s="8"/>
    </row>
    <row r="6" ht="30" customHeight="1" spans="1:17">
      <c r="A6" s="8" t="s">
        <v>163</v>
      </c>
      <c r="B6" s="8" t="s">
        <v>35</v>
      </c>
      <c r="C6" s="8">
        <v>12</v>
      </c>
      <c r="D6" s="8">
        <v>1</v>
      </c>
      <c r="E6" s="8">
        <v>4</v>
      </c>
      <c r="F6" s="10">
        <v>27.8218425869433</v>
      </c>
      <c r="G6" s="10">
        <v>24.8920559440559</v>
      </c>
      <c r="H6" s="10">
        <v>79.5359020979021</v>
      </c>
      <c r="I6" s="10">
        <v>3994.879</v>
      </c>
      <c r="J6" s="10">
        <v>3983.585</v>
      </c>
      <c r="K6" s="10">
        <f t="shared" si="0"/>
        <v>-11.2939999999999</v>
      </c>
      <c r="L6" s="10">
        <f t="shared" si="1"/>
        <v>-0.282711941963696</v>
      </c>
      <c r="M6" s="8">
        <f t="shared" si="2"/>
        <v>720</v>
      </c>
      <c r="N6" s="8">
        <v>715</v>
      </c>
      <c r="O6" s="10">
        <f t="shared" si="3"/>
        <v>99.3055555555556</v>
      </c>
      <c r="P6" s="8" t="s">
        <v>135</v>
      </c>
      <c r="Q6" s="8"/>
    </row>
    <row r="7" ht="30" customHeight="1" spans="1:17">
      <c r="A7" s="8" t="s">
        <v>164</v>
      </c>
      <c r="B7" s="8" t="s">
        <v>35</v>
      </c>
      <c r="C7" s="8">
        <v>12</v>
      </c>
      <c r="D7" s="8">
        <v>1</v>
      </c>
      <c r="E7" s="8">
        <v>4</v>
      </c>
      <c r="F7" s="10">
        <v>46.0567189287269</v>
      </c>
      <c r="G7" s="10">
        <v>25.0701805555556</v>
      </c>
      <c r="H7" s="10">
        <v>79.655625</v>
      </c>
      <c r="I7" s="10">
        <v>3983.585</v>
      </c>
      <c r="J7" s="10">
        <v>3975.331</v>
      </c>
      <c r="K7" s="10">
        <f t="shared" si="0"/>
        <v>-8.25399999999991</v>
      </c>
      <c r="L7" s="10">
        <f t="shared" si="1"/>
        <v>-0.207200298223834</v>
      </c>
      <c r="M7" s="8">
        <f t="shared" si="2"/>
        <v>720</v>
      </c>
      <c r="N7" s="8">
        <v>720</v>
      </c>
      <c r="O7" s="10">
        <f t="shared" si="3"/>
        <v>100</v>
      </c>
      <c r="P7" s="8" t="s">
        <v>135</v>
      </c>
      <c r="Q7" s="8"/>
    </row>
    <row r="8" ht="30" customHeight="1" spans="1:17">
      <c r="A8" s="8" t="s">
        <v>165</v>
      </c>
      <c r="B8" s="8" t="s">
        <v>35</v>
      </c>
      <c r="C8" s="8">
        <v>12</v>
      </c>
      <c r="D8" s="8">
        <v>1</v>
      </c>
      <c r="E8" s="8">
        <v>4</v>
      </c>
      <c r="F8" s="10">
        <v>58.1159932065446</v>
      </c>
      <c r="G8" s="10">
        <v>25.2275</v>
      </c>
      <c r="H8" s="10">
        <v>79.6957222222222</v>
      </c>
      <c r="I8" s="10">
        <v>3975.331</v>
      </c>
      <c r="J8" s="10">
        <v>3965.122</v>
      </c>
      <c r="K8" s="10">
        <f t="shared" si="0"/>
        <v>-10.2090000000003</v>
      </c>
      <c r="L8" s="10">
        <f t="shared" si="1"/>
        <v>-0.256808804097075</v>
      </c>
      <c r="M8" s="8">
        <f t="shared" si="2"/>
        <v>720</v>
      </c>
      <c r="N8" s="8">
        <v>720</v>
      </c>
      <c r="O8" s="10">
        <f t="shared" si="3"/>
        <v>100</v>
      </c>
      <c r="P8" s="8" t="s">
        <v>135</v>
      </c>
      <c r="Q8" s="8"/>
    </row>
    <row r="9" ht="30" customHeight="1" spans="1:17">
      <c r="A9" s="8" t="s">
        <v>166</v>
      </c>
      <c r="B9" s="8" t="s">
        <v>35</v>
      </c>
      <c r="C9" s="8">
        <v>12</v>
      </c>
      <c r="D9" s="8">
        <v>1</v>
      </c>
      <c r="E9" s="8">
        <v>4</v>
      </c>
      <c r="F9" s="10">
        <v>29.3174229569216</v>
      </c>
      <c r="G9" s="10">
        <v>25.3667083333333</v>
      </c>
      <c r="H9" s="10">
        <v>79.6135972222222</v>
      </c>
      <c r="I9" s="10">
        <v>3965.122</v>
      </c>
      <c r="J9" s="10">
        <v>3954.94</v>
      </c>
      <c r="K9" s="10">
        <f t="shared" si="0"/>
        <v>-10.1819999999998</v>
      </c>
      <c r="L9" s="10">
        <f t="shared" si="1"/>
        <v>-0.256789072316055</v>
      </c>
      <c r="M9" s="8">
        <f t="shared" si="2"/>
        <v>720</v>
      </c>
      <c r="N9" s="8">
        <v>720</v>
      </c>
      <c r="O9" s="10">
        <f t="shared" si="3"/>
        <v>100</v>
      </c>
      <c r="P9" s="8" t="s">
        <v>135</v>
      </c>
      <c r="Q9" s="8"/>
    </row>
    <row r="10" ht="30" customHeight="1" spans="1:17">
      <c r="A10" s="8" t="s">
        <v>167</v>
      </c>
      <c r="B10" s="8" t="s">
        <v>35</v>
      </c>
      <c r="C10" s="8">
        <v>12</v>
      </c>
      <c r="D10" s="8">
        <v>1</v>
      </c>
      <c r="E10" s="8">
        <v>4</v>
      </c>
      <c r="F10" s="10">
        <v>51.6754950530613</v>
      </c>
      <c r="G10" s="10">
        <v>25.4812777777778</v>
      </c>
      <c r="H10" s="10">
        <v>79.4043472222222</v>
      </c>
      <c r="I10" s="10">
        <v>3954.94</v>
      </c>
      <c r="J10" s="10">
        <v>3945.892</v>
      </c>
      <c r="K10" s="10">
        <f t="shared" si="0"/>
        <v>-9.04800000000023</v>
      </c>
      <c r="L10" s="10">
        <f t="shared" si="1"/>
        <v>-0.228777174874972</v>
      </c>
      <c r="M10" s="8">
        <f t="shared" si="2"/>
        <v>720</v>
      </c>
      <c r="N10" s="8">
        <v>720</v>
      </c>
      <c r="O10" s="10">
        <f t="shared" si="3"/>
        <v>100</v>
      </c>
      <c r="P10" s="8" t="s">
        <v>135</v>
      </c>
      <c r="Q10" s="8"/>
    </row>
    <row r="11" ht="30" customHeight="1" spans="1:17">
      <c r="A11" s="8" t="s">
        <v>168</v>
      </c>
      <c r="B11" s="8" t="s">
        <v>35</v>
      </c>
      <c r="C11" s="8">
        <v>12</v>
      </c>
      <c r="D11" s="8">
        <v>1</v>
      </c>
      <c r="E11" s="8">
        <v>4</v>
      </c>
      <c r="F11" s="10">
        <v>61.5473848792051</v>
      </c>
      <c r="G11" s="10">
        <v>25.5784283727399</v>
      </c>
      <c r="H11" s="10">
        <v>79.091057023644</v>
      </c>
      <c r="I11" s="10">
        <v>3945.892</v>
      </c>
      <c r="J11" s="10">
        <v>3935.004</v>
      </c>
      <c r="K11" s="10">
        <f t="shared" si="0"/>
        <v>-10.8879999999999</v>
      </c>
      <c r="L11" s="10">
        <f t="shared" si="1"/>
        <v>-0.275932539461291</v>
      </c>
      <c r="M11" s="8">
        <f t="shared" si="2"/>
        <v>720</v>
      </c>
      <c r="N11" s="8">
        <v>719</v>
      </c>
      <c r="O11" s="10">
        <f t="shared" si="3"/>
        <v>99.8611111111111</v>
      </c>
      <c r="P11" s="8" t="s">
        <v>135</v>
      </c>
      <c r="Q11" s="8"/>
    </row>
    <row r="12" ht="30" customHeight="1" spans="1:17">
      <c r="A12" s="8" t="s">
        <v>169</v>
      </c>
      <c r="B12" s="8" t="s">
        <v>35</v>
      </c>
      <c r="C12" s="8">
        <v>12</v>
      </c>
      <c r="D12" s="8">
        <v>1</v>
      </c>
      <c r="E12" s="8">
        <v>4</v>
      </c>
      <c r="F12" s="10">
        <v>30.7066832351829</v>
      </c>
      <c r="G12" s="10">
        <v>25.643625</v>
      </c>
      <c r="H12" s="10">
        <v>78.6654861111111</v>
      </c>
      <c r="I12" s="10">
        <v>3935.004</v>
      </c>
      <c r="J12" s="10">
        <v>3925.608</v>
      </c>
      <c r="K12" s="10">
        <f t="shared" si="0"/>
        <v>-9.39599999999973</v>
      </c>
      <c r="L12" s="10">
        <f t="shared" si="1"/>
        <v>-0.238779935166514</v>
      </c>
      <c r="M12" s="8">
        <f t="shared" si="2"/>
        <v>720</v>
      </c>
      <c r="N12" s="8">
        <v>720</v>
      </c>
      <c r="O12" s="10">
        <f t="shared" si="3"/>
        <v>100</v>
      </c>
      <c r="P12" s="8" t="s">
        <v>135</v>
      </c>
      <c r="Q12" s="8"/>
    </row>
    <row r="13" ht="30" customHeight="1" spans="1:17">
      <c r="A13" s="8" t="s">
        <v>170</v>
      </c>
      <c r="B13" s="8" t="s">
        <v>35</v>
      </c>
      <c r="C13" s="8">
        <v>12</v>
      </c>
      <c r="D13" s="8">
        <v>1</v>
      </c>
      <c r="E13" s="8">
        <v>4</v>
      </c>
      <c r="F13" s="10">
        <v>56.0596853349887</v>
      </c>
      <c r="G13" s="10">
        <v>25.6921666666667</v>
      </c>
      <c r="H13" s="10">
        <v>78.1292916666667</v>
      </c>
      <c r="I13" s="10">
        <v>3925.608</v>
      </c>
      <c r="J13" s="10">
        <v>3916.438</v>
      </c>
      <c r="K13" s="10">
        <f t="shared" si="0"/>
        <v>-9.17000000000007</v>
      </c>
      <c r="L13" s="10">
        <f t="shared" si="1"/>
        <v>-0.233594388436137</v>
      </c>
      <c r="M13" s="8">
        <f t="shared" si="2"/>
        <v>720</v>
      </c>
      <c r="N13" s="8">
        <v>720</v>
      </c>
      <c r="O13" s="10">
        <f t="shared" si="3"/>
        <v>100</v>
      </c>
      <c r="P13" s="8" t="s">
        <v>135</v>
      </c>
      <c r="Q13" s="8"/>
    </row>
    <row r="14" ht="30" customHeight="1" spans="1:17">
      <c r="A14" s="8" t="s">
        <v>171</v>
      </c>
      <c r="B14" s="8" t="s">
        <v>35</v>
      </c>
      <c r="C14" s="8">
        <v>12</v>
      </c>
      <c r="D14" s="8">
        <v>1</v>
      </c>
      <c r="E14" s="8">
        <v>4</v>
      </c>
      <c r="F14" s="10">
        <v>64.2461095197413</v>
      </c>
      <c r="G14" s="10">
        <v>25.7212222222222</v>
      </c>
      <c r="H14" s="10">
        <v>77.5049861111111</v>
      </c>
      <c r="I14" s="10">
        <v>3916.438</v>
      </c>
      <c r="J14" s="10">
        <v>3906.172</v>
      </c>
      <c r="K14" s="10">
        <f t="shared" si="0"/>
        <v>-10.2660000000001</v>
      </c>
      <c r="L14" s="10">
        <f t="shared" si="1"/>
        <v>-0.262125941991168</v>
      </c>
      <c r="M14" s="8">
        <f t="shared" si="2"/>
        <v>720</v>
      </c>
      <c r="N14" s="8">
        <v>720</v>
      </c>
      <c r="O14" s="10">
        <f t="shared" si="3"/>
        <v>100</v>
      </c>
      <c r="P14" s="8" t="s">
        <v>135</v>
      </c>
      <c r="Q14" s="8"/>
    </row>
  </sheetData>
  <mergeCells count="1">
    <mergeCell ref="A1:Q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showGridLines="0" tabSelected="1" workbookViewId="0">
      <pane ySplit="4" topLeftCell="A5" activePane="bottomLeft" state="frozen"/>
      <selection/>
      <selection pane="bottomLeft" activeCell="A1" sqref="A1:F1"/>
    </sheetView>
  </sheetViews>
  <sheetFormatPr defaultColWidth="9" defaultRowHeight="14.5" outlineLevelCol="5"/>
  <cols>
    <col min="1" max="1" width="18" customWidth="1"/>
    <col min="2" max="2" width="44" customWidth="1"/>
    <col min="3" max="3" width="22" customWidth="1"/>
    <col min="4" max="4" width="14" customWidth="1"/>
    <col min="5" max="5" width="20" customWidth="1"/>
    <col min="6" max="6" width="32" customWidth="1"/>
  </cols>
  <sheetData>
    <row r="1" ht="38" customHeight="1" spans="1:6">
      <c r="A1" s="1" t="s">
        <v>172</v>
      </c>
      <c r="B1" s="1"/>
      <c r="C1" s="1"/>
      <c r="D1" s="1"/>
      <c r="E1" s="1"/>
      <c r="F1" s="1"/>
    </row>
    <row r="2" ht="30" customHeight="1" spans="1:6">
      <c r="A2" s="2"/>
      <c r="B2" s="2"/>
      <c r="C2" s="2"/>
      <c r="D2" s="2"/>
      <c r="E2" s="2"/>
      <c r="F2" s="2"/>
    </row>
    <row r="3" ht="40" customHeight="1" spans="1:6">
      <c r="A3" s="3" t="s">
        <v>173</v>
      </c>
      <c r="B3" s="3" t="s">
        <v>174</v>
      </c>
      <c r="C3" s="3" t="s">
        <v>175</v>
      </c>
      <c r="D3" s="3" t="s">
        <v>4</v>
      </c>
      <c r="E3" s="3" t="s">
        <v>176</v>
      </c>
      <c r="F3" s="3"/>
    </row>
    <row r="4" ht="44" customHeight="1" spans="1:6">
      <c r="A4" s="4" t="s">
        <v>177</v>
      </c>
      <c r="B4" s="4" t="s">
        <v>178</v>
      </c>
      <c r="C4" s="4" t="s">
        <v>179</v>
      </c>
      <c r="D4" s="4" t="s">
        <v>180</v>
      </c>
      <c r="E4" s="4" t="s">
        <v>181</v>
      </c>
      <c r="F4" s="4"/>
    </row>
    <row r="5" ht="44" customHeight="1" spans="1:6">
      <c r="A5" s="5" t="s">
        <v>177</v>
      </c>
      <c r="B5" s="5" t="s">
        <v>182</v>
      </c>
      <c r="C5" s="6">
        <f>MAX(电子鼻_处理结果!G5:G8)</f>
        <v>67.3638172622502</v>
      </c>
      <c r="D5" s="5" t="s">
        <v>180</v>
      </c>
      <c r="E5" s="5" t="s">
        <v>181</v>
      </c>
      <c r="F5" s="5"/>
    </row>
    <row r="6" ht="44" customHeight="1" spans="1:6">
      <c r="A6" s="5" t="s">
        <v>183</v>
      </c>
      <c r="B6" s="5" t="s">
        <v>184</v>
      </c>
      <c r="C6" s="6">
        <f>SHT31_处理结果!T8</f>
        <v>30</v>
      </c>
      <c r="D6" s="5" t="s">
        <v>185</v>
      </c>
      <c r="E6" s="5" t="s">
        <v>181</v>
      </c>
      <c r="F6" s="5"/>
    </row>
    <row r="7" ht="44" customHeight="1" spans="1:6">
      <c r="A7" s="5" t="s">
        <v>183</v>
      </c>
      <c r="B7" s="5" t="s">
        <v>186</v>
      </c>
      <c r="C7" s="6">
        <f>SHT31_处理结果!T6</f>
        <v>0.197419677261532</v>
      </c>
      <c r="D7" s="5" t="s">
        <v>29</v>
      </c>
      <c r="E7" s="5" t="s">
        <v>181</v>
      </c>
      <c r="F7" s="5"/>
    </row>
    <row r="8" ht="44" customHeight="1" spans="1:6">
      <c r="A8" s="5" t="s">
        <v>183</v>
      </c>
      <c r="B8" s="5" t="s">
        <v>187</v>
      </c>
      <c r="C8" s="6">
        <f>SHT31_处理结果!T7</f>
        <v>1.50572777079999</v>
      </c>
      <c r="D8" s="5" t="s">
        <v>188</v>
      </c>
      <c r="E8" s="5" t="s">
        <v>181</v>
      </c>
      <c r="F8" s="5"/>
    </row>
    <row r="9" ht="44" customHeight="1" spans="1:6">
      <c r="A9" s="5" t="s">
        <v>189</v>
      </c>
      <c r="B9" s="5" t="s">
        <v>190</v>
      </c>
      <c r="C9" s="6">
        <f>HX711_标定结果!P5</f>
        <v>0.161778095238091</v>
      </c>
      <c r="D9" s="5" t="s">
        <v>180</v>
      </c>
      <c r="E9" s="5" t="s">
        <v>181</v>
      </c>
      <c r="F9" s="5"/>
    </row>
    <row r="10" ht="44" customHeight="1" spans="1:6">
      <c r="A10" s="5" t="s">
        <v>189</v>
      </c>
      <c r="B10" s="5" t="s">
        <v>121</v>
      </c>
      <c r="C10" s="7">
        <f>HX711_标定结果!P8</f>
        <v>0.999999857528417</v>
      </c>
      <c r="D10" s="5" t="s">
        <v>191</v>
      </c>
      <c r="E10" s="5" t="s">
        <v>181</v>
      </c>
      <c r="F10" s="5"/>
    </row>
    <row r="11" ht="44" customHeight="1" spans="1:6">
      <c r="A11" s="5" t="s">
        <v>192</v>
      </c>
      <c r="B11" s="5" t="s">
        <v>184</v>
      </c>
      <c r="C11" s="6">
        <f>整机稳定性!Q5</f>
        <v>480</v>
      </c>
      <c r="D11" s="5" t="s">
        <v>185</v>
      </c>
      <c r="E11" s="5" t="s">
        <v>181</v>
      </c>
      <c r="F11" s="5"/>
    </row>
    <row r="12" ht="44" customHeight="1" spans="1:6">
      <c r="A12" s="5" t="s">
        <v>192</v>
      </c>
      <c r="B12" s="5" t="s">
        <v>193</v>
      </c>
      <c r="C12" s="6">
        <f>整机稳定性!G14</f>
        <v>99.9201388888889</v>
      </c>
      <c r="D12" s="5" t="s">
        <v>180</v>
      </c>
      <c r="E12" s="5" t="s">
        <v>181</v>
      </c>
      <c r="F12" s="5"/>
    </row>
    <row r="13" ht="44" customHeight="1" spans="1:6">
      <c r="A13" s="5" t="s">
        <v>192</v>
      </c>
      <c r="B13" s="5" t="s">
        <v>128</v>
      </c>
      <c r="C13" s="6">
        <f>整机稳定性!Q7</f>
        <v>0</v>
      </c>
      <c r="D13" s="5" t="s">
        <v>194</v>
      </c>
      <c r="E13" s="5" t="s">
        <v>181</v>
      </c>
      <c r="F13" s="5"/>
    </row>
    <row r="14" ht="44" customHeight="1" spans="1:6">
      <c r="A14" s="5" t="s">
        <v>195</v>
      </c>
      <c r="B14" s="5" t="s">
        <v>196</v>
      </c>
      <c r="C14" s="6">
        <f>SUM(联合采集汇总!C5:C14)</f>
        <v>120</v>
      </c>
      <c r="D14" s="5" t="s">
        <v>185</v>
      </c>
      <c r="E14" s="5" t="s">
        <v>181</v>
      </c>
      <c r="F14" s="5"/>
    </row>
    <row r="15" ht="36" customHeight="1" spans="1:6">
      <c r="A15" s="8"/>
      <c r="B15" s="8"/>
      <c r="C15" s="9"/>
      <c r="D15" s="8"/>
      <c r="E15" s="8"/>
      <c r="F15" s="8"/>
    </row>
    <row r="16" ht="36" customHeight="1" spans="1:6">
      <c r="A16" s="8"/>
      <c r="B16" s="8"/>
      <c r="C16" s="9"/>
      <c r="D16" s="8"/>
      <c r="E16" s="8"/>
      <c r="F16" s="8"/>
    </row>
    <row r="17" ht="36" customHeight="1" spans="1:6">
      <c r="A17" s="8"/>
      <c r="B17" s="8"/>
      <c r="C17" s="10"/>
      <c r="D17" s="8"/>
      <c r="E17" s="8"/>
      <c r="F17" s="8"/>
    </row>
    <row r="18" ht="36" customHeight="1" spans="1:6">
      <c r="A18" s="8"/>
      <c r="B18" s="8"/>
      <c r="C18" s="10"/>
      <c r="D18" s="8"/>
      <c r="E18" s="8"/>
      <c r="F18" s="8"/>
    </row>
    <row r="19" ht="36" customHeight="1" spans="1:6">
      <c r="A19" s="8"/>
      <c r="B19" s="8"/>
      <c r="C19" s="10"/>
      <c r="D19" s="8"/>
      <c r="E19" s="8"/>
      <c r="F19" s="8"/>
    </row>
    <row r="20" ht="36" customHeight="1" spans="1:6">
      <c r="A20" s="8"/>
      <c r="B20" s="8"/>
      <c r="C20" s="9"/>
      <c r="D20" s="8"/>
      <c r="E20" s="8"/>
      <c r="F20" s="8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填写说明</vt:lpstr>
      <vt:lpstr>电子鼻_处理结果</vt:lpstr>
      <vt:lpstr>SHT31_处理结果</vt:lpstr>
      <vt:lpstr>HX711_标定结果</vt:lpstr>
      <vt:lpstr>整机稳定性</vt:lpstr>
      <vt:lpstr>联合采集汇总</vt:lpstr>
      <vt:lpstr>申报材料摘要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enze</cp:lastModifiedBy>
  <dcterms:created xsi:type="dcterms:W3CDTF">2026-09-27T13:09:56Z</dcterms:created>
  <dcterms:modified xsi:type="dcterms:W3CDTF">2026-09-27T13:10:04Z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412988670B9041F8B8CA7298C8D15C52_12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